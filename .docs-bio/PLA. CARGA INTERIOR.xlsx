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benite\Desktop\"/>
    </mc:Choice>
  </mc:AlternateContent>
  <bookViews>
    <workbookView xWindow="0" yWindow="0" windowWidth="28755" windowHeight="11250" tabRatio="741" firstSheet="9" activeTab="11"/>
  </bookViews>
  <sheets>
    <sheet name="1- CONSULTAS MEDICAS " sheetId="27" r:id="rId1"/>
    <sheet name="2- ODONTOLOGIA " sheetId="35" r:id="rId2"/>
    <sheet name="3- ESPECIALIDADES" sheetId="29" r:id="rId3"/>
    <sheet name="4- M. DIAGNOSTICO" sheetId="26" r:id="rId4"/>
    <sheet name="5- PRODUCTIVIDAD" sheetId="33" r:id="rId5"/>
    <sheet name="6- MEDICAMENTOS" sheetId="40" r:id="rId6"/>
    <sheet name="7- LABORATORIO " sheetId="34" r:id="rId7"/>
    <sheet name="8- URGENCIAS" sheetId="28" r:id="rId8"/>
    <sheet name="9- ENFERMERIA" sheetId="30" r:id="rId9"/>
    <sheet name="10- INTERNACIONES" sheetId="32" r:id="rId10"/>
    <sheet name="11- PACIENTE DIA" sheetId="24" r:id="rId11"/>
    <sheet name="12- PROGRAMA VIH-TB" sheetId="37" r:id="rId12"/>
    <sheet name="13- PROGRAMAS SALUD" sheetId="39" r:id="rId13"/>
    <sheet name="CONSULTAS. DIARIA " sheetId="31" r:id="rId14"/>
    <sheet name="ENFERMERIA DIARIA" sheetId="23" r:id="rId15"/>
    <sheet name="PROGRAMA DIARIA" sheetId="38" r:id="rId16"/>
    <sheet name="Hoja1" sheetId="41" r:id="rId17"/>
  </sheets>
  <definedNames>
    <definedName name="_xlnm._FilterDatabase" localSheetId="2" hidden="1">'3- ESPECIALIDADES'!$A$5:$B$52</definedName>
  </definedNames>
  <calcPr calcId="152511"/>
</workbook>
</file>

<file path=xl/calcChain.xml><?xml version="1.0" encoding="utf-8"?>
<calcChain xmlns="http://schemas.openxmlformats.org/spreadsheetml/2006/main">
  <c r="C32" i="33" l="1"/>
  <c r="E32" i="33" s="1"/>
  <c r="E23" i="33"/>
  <c r="D19" i="33"/>
  <c r="C19" i="33" l="1"/>
  <c r="E19" i="33" s="1"/>
  <c r="D31" i="40" l="1"/>
  <c r="AG32" i="23" l="1"/>
  <c r="AG38" i="23"/>
  <c r="E53" i="23" l="1"/>
  <c r="F53" i="23"/>
  <c r="I53" i="23"/>
  <c r="J53" i="23"/>
  <c r="N53" i="23"/>
  <c r="O53" i="23"/>
  <c r="Q53" i="23"/>
  <c r="W53" i="23"/>
  <c r="X53" i="23"/>
  <c r="AA53" i="23"/>
  <c r="AB53" i="23"/>
  <c r="AF53" i="23" l="1"/>
  <c r="C38" i="28" l="1"/>
  <c r="B38" i="28"/>
  <c r="C34" i="28"/>
  <c r="B34" i="28"/>
  <c r="C27" i="28"/>
  <c r="B27" i="28"/>
  <c r="C24" i="28"/>
  <c r="B24" i="28"/>
  <c r="C17" i="28"/>
  <c r="C12" i="28"/>
  <c r="B17" i="28"/>
  <c r="B12" i="28"/>
  <c r="AG46" i="23"/>
  <c r="AG47" i="23"/>
  <c r="AG48" i="23"/>
  <c r="AG49" i="23"/>
  <c r="AG50" i="23"/>
  <c r="AG51" i="23"/>
  <c r="AG105" i="38"/>
  <c r="AG104" i="38"/>
  <c r="AG103" i="38"/>
  <c r="AG102" i="38"/>
  <c r="AG101" i="38"/>
  <c r="AG99" i="38"/>
  <c r="AG97" i="38"/>
  <c r="AG96" i="38"/>
  <c r="AG95" i="38"/>
  <c r="AG89" i="38"/>
  <c r="AG88" i="38"/>
  <c r="AG87" i="38"/>
  <c r="AG86" i="38"/>
  <c r="AG85" i="38"/>
  <c r="AG84" i="38"/>
  <c r="AG82" i="38"/>
  <c r="AG81" i="38"/>
  <c r="AG80" i="38"/>
  <c r="AG79" i="38"/>
  <c r="AG78" i="38"/>
  <c r="AG77" i="38"/>
  <c r="AG76" i="38"/>
  <c r="AG73" i="38"/>
  <c r="AG72" i="38"/>
  <c r="AG71" i="38"/>
  <c r="AG70" i="38"/>
  <c r="AG69" i="38"/>
  <c r="AG68" i="38"/>
  <c r="AG67" i="38"/>
  <c r="AG66" i="38"/>
  <c r="AG64" i="38"/>
  <c r="AG63" i="38"/>
  <c r="AG62" i="38"/>
  <c r="AG61" i="38"/>
  <c r="AG59" i="38"/>
  <c r="AG58" i="38"/>
  <c r="AG57" i="38"/>
  <c r="AG56" i="38"/>
  <c r="AG54" i="38"/>
  <c r="AG53" i="38"/>
  <c r="AG52" i="38"/>
  <c r="AG51" i="38"/>
  <c r="AG50" i="38"/>
  <c r="AG49" i="38"/>
  <c r="AG48" i="38"/>
  <c r="AG46" i="38"/>
  <c r="AG45" i="38"/>
  <c r="AG44" i="38"/>
  <c r="AG43" i="38"/>
  <c r="AG41" i="38"/>
  <c r="AG40" i="38"/>
  <c r="AG39" i="38"/>
  <c r="AG38" i="38"/>
  <c r="AG36" i="38"/>
  <c r="AG35" i="38"/>
  <c r="AG33" i="38"/>
  <c r="AG32" i="38"/>
  <c r="AG30" i="38"/>
  <c r="AG29" i="38"/>
  <c r="AG28" i="38"/>
  <c r="AG27" i="38"/>
  <c r="AG26" i="38"/>
  <c r="AG25" i="38"/>
  <c r="AG24" i="38"/>
  <c r="AG23" i="38"/>
  <c r="AG21" i="38"/>
  <c r="AG20" i="38"/>
  <c r="AG19" i="38"/>
  <c r="AG18" i="38"/>
  <c r="AG17" i="38"/>
  <c r="AG16" i="38"/>
  <c r="AG15" i="38"/>
  <c r="AG14" i="38"/>
  <c r="AG13" i="38"/>
  <c r="AG12" i="38"/>
  <c r="B83" i="31"/>
  <c r="AG136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B142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B138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B131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B128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B121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B116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B109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B105" i="31"/>
  <c r="C98" i="31"/>
  <c r="C95" i="31" s="1"/>
  <c r="D98" i="31"/>
  <c r="D95" i="31" s="1"/>
  <c r="E98" i="31"/>
  <c r="E95" i="31" s="1"/>
  <c r="F98" i="31"/>
  <c r="F95" i="31" s="1"/>
  <c r="G98" i="31"/>
  <c r="G95" i="31" s="1"/>
  <c r="H98" i="31"/>
  <c r="H95" i="31" s="1"/>
  <c r="I98" i="31"/>
  <c r="I95" i="31" s="1"/>
  <c r="J98" i="31"/>
  <c r="J95" i="31" s="1"/>
  <c r="K98" i="31"/>
  <c r="K95" i="31" s="1"/>
  <c r="L98" i="31"/>
  <c r="L95" i="31" s="1"/>
  <c r="M98" i="31"/>
  <c r="M95" i="31" s="1"/>
  <c r="N98" i="31"/>
  <c r="N95" i="31" s="1"/>
  <c r="O98" i="31"/>
  <c r="O95" i="31" s="1"/>
  <c r="P98" i="31"/>
  <c r="P95" i="31" s="1"/>
  <c r="Q98" i="31"/>
  <c r="Q95" i="31" s="1"/>
  <c r="R98" i="31"/>
  <c r="R95" i="31" s="1"/>
  <c r="S98" i="31"/>
  <c r="S95" i="31" s="1"/>
  <c r="T98" i="31"/>
  <c r="T95" i="31" s="1"/>
  <c r="U98" i="31"/>
  <c r="U95" i="31" s="1"/>
  <c r="V98" i="31"/>
  <c r="V95" i="31" s="1"/>
  <c r="W98" i="31"/>
  <c r="W95" i="31" s="1"/>
  <c r="X98" i="31"/>
  <c r="X95" i="31" s="1"/>
  <c r="Y98" i="31"/>
  <c r="Y95" i="31" s="1"/>
  <c r="Z98" i="31"/>
  <c r="Z95" i="31" s="1"/>
  <c r="AA98" i="31"/>
  <c r="AA95" i="31" s="1"/>
  <c r="AB98" i="31"/>
  <c r="AB95" i="31" s="1"/>
  <c r="AC98" i="31"/>
  <c r="AC95" i="31" s="1"/>
  <c r="AD98" i="31"/>
  <c r="AD95" i="31" s="1"/>
  <c r="AE98" i="31"/>
  <c r="AE95" i="31" s="1"/>
  <c r="AF98" i="31"/>
  <c r="AF95" i="31" s="1"/>
  <c r="B98" i="31"/>
  <c r="C88" i="31"/>
  <c r="D88" i="31"/>
  <c r="E88" i="31"/>
  <c r="F88" i="31"/>
  <c r="G88" i="31"/>
  <c r="H88" i="31"/>
  <c r="I88" i="31"/>
  <c r="J88" i="31"/>
  <c r="K88" i="31"/>
  <c r="L88" i="31"/>
  <c r="M88" i="31"/>
  <c r="N88" i="31"/>
  <c r="O88" i="31"/>
  <c r="P88" i="31"/>
  <c r="Q88" i="31"/>
  <c r="R88" i="31"/>
  <c r="S88" i="31"/>
  <c r="T88" i="31"/>
  <c r="U88" i="31"/>
  <c r="V88" i="31"/>
  <c r="W88" i="31"/>
  <c r="X88" i="31"/>
  <c r="Y88" i="31"/>
  <c r="Z88" i="31"/>
  <c r="AA88" i="31"/>
  <c r="AB88" i="31"/>
  <c r="AC88" i="31"/>
  <c r="AD88" i="31"/>
  <c r="AE88" i="31"/>
  <c r="AF88" i="31"/>
  <c r="B88" i="31"/>
  <c r="C83" i="31"/>
  <c r="D83" i="31"/>
  <c r="E83" i="31"/>
  <c r="F83" i="31"/>
  <c r="G83" i="31"/>
  <c r="H83" i="31"/>
  <c r="I83" i="31"/>
  <c r="J83" i="31"/>
  <c r="K83" i="31"/>
  <c r="L83" i="31"/>
  <c r="M83" i="31"/>
  <c r="N83" i="31"/>
  <c r="O83" i="31"/>
  <c r="P83" i="31"/>
  <c r="Q83" i="31"/>
  <c r="R83" i="31"/>
  <c r="S83" i="31"/>
  <c r="T83" i="31"/>
  <c r="U83" i="31"/>
  <c r="V83" i="31"/>
  <c r="W83" i="31"/>
  <c r="X83" i="31"/>
  <c r="Y83" i="31"/>
  <c r="Z83" i="31"/>
  <c r="AA83" i="31"/>
  <c r="AB83" i="31"/>
  <c r="AC83" i="31"/>
  <c r="AD83" i="31"/>
  <c r="AE83" i="31"/>
  <c r="AF83" i="31"/>
  <c r="AG145" i="31"/>
  <c r="AG144" i="31"/>
  <c r="AG143" i="31"/>
  <c r="AG141" i="31"/>
  <c r="AG140" i="31"/>
  <c r="AG139" i="31"/>
  <c r="AG137" i="31"/>
  <c r="AG135" i="31"/>
  <c r="AG134" i="31"/>
  <c r="AG133" i="31"/>
  <c r="AG132" i="31"/>
  <c r="AG130" i="31"/>
  <c r="AG129" i="31"/>
  <c r="AG127" i="31"/>
  <c r="AG126" i="31"/>
  <c r="AG125" i="31"/>
  <c r="AG124" i="31"/>
  <c r="AG123" i="31"/>
  <c r="AG122" i="31"/>
  <c r="AG120" i="31"/>
  <c r="AG119" i="31"/>
  <c r="AG118" i="31"/>
  <c r="AG117" i="31"/>
  <c r="AG112" i="31"/>
  <c r="AG111" i="31"/>
  <c r="AG110" i="31"/>
  <c r="AG108" i="31"/>
  <c r="AG107" i="31"/>
  <c r="AG106" i="31"/>
  <c r="AG104" i="31"/>
  <c r="AG102" i="31"/>
  <c r="AG101" i="31"/>
  <c r="AG100" i="31"/>
  <c r="AG99" i="31"/>
  <c r="AG97" i="31"/>
  <c r="AG96" i="31"/>
  <c r="AG94" i="31"/>
  <c r="AG93" i="31"/>
  <c r="AG92" i="31"/>
  <c r="AG91" i="31"/>
  <c r="AG90" i="31"/>
  <c r="AG89" i="31"/>
  <c r="AG87" i="31"/>
  <c r="AG86" i="31"/>
  <c r="AG85" i="31"/>
  <c r="AG84" i="31"/>
  <c r="AG53" i="23" l="1"/>
  <c r="C42" i="28"/>
  <c r="C44" i="28" s="1"/>
  <c r="B42" i="28"/>
  <c r="B44" i="28" s="1"/>
  <c r="AG98" i="31"/>
  <c r="AG74" i="38"/>
  <c r="AG121" i="31"/>
  <c r="AG105" i="31"/>
  <c r="AG109" i="31"/>
  <c r="AG142" i="31"/>
  <c r="AG83" i="31"/>
  <c r="AG88" i="31"/>
  <c r="AG131" i="31"/>
  <c r="AG116" i="31"/>
  <c r="AG128" i="31"/>
  <c r="AG138" i="31"/>
  <c r="B95" i="31"/>
  <c r="AG95" i="31" s="1"/>
  <c r="AG146" i="31" l="1"/>
  <c r="AG113" i="31"/>
</calcChain>
</file>

<file path=xl/sharedStrings.xml><?xml version="1.0" encoding="utf-8"?>
<sst xmlns="http://schemas.openxmlformats.org/spreadsheetml/2006/main" count="1050" uniqueCount="656">
  <si>
    <t>N°</t>
  </si>
  <si>
    <t>CEDULA DE IDENTIDAD</t>
  </si>
  <si>
    <t>SEXO</t>
  </si>
  <si>
    <t>TIPO DE SEGURO</t>
  </si>
  <si>
    <t>AÑO DE NACIMIENTO</t>
  </si>
  <si>
    <t>EDAD</t>
  </si>
  <si>
    <t>CIUDAD DE RESIDENCIA</t>
  </si>
  <si>
    <t>FECHA DE INGRESO</t>
  </si>
  <si>
    <t>FECHA DE EGRESO</t>
  </si>
  <si>
    <t>DIAS DE INTERNACION</t>
  </si>
  <si>
    <t>SERVICIO</t>
  </si>
  <si>
    <t>DIAGNOSTICO DE EGRESOS</t>
  </si>
  <si>
    <t>CIE-10</t>
  </si>
  <si>
    <t>R.N.  VIVO              SI - NO</t>
  </si>
  <si>
    <t>R.N.  VIVO              SEXO</t>
  </si>
  <si>
    <t>R.N.  VIVO              PESO</t>
  </si>
  <si>
    <t>TIPO DE ALTA</t>
  </si>
  <si>
    <t>MENOR</t>
  </si>
  <si>
    <t>INGRESOS</t>
  </si>
  <si>
    <t>Pacientes atendidos por tipo de seguro</t>
  </si>
  <si>
    <t>total</t>
  </si>
  <si>
    <t>a) Obligatorio</t>
  </si>
  <si>
    <t>Cotizante</t>
  </si>
  <si>
    <t>Cónyuge</t>
  </si>
  <si>
    <t>Descendientes</t>
  </si>
  <si>
    <t>Ascendientes</t>
  </si>
  <si>
    <t xml:space="preserve"> b)Magisterio</t>
  </si>
  <si>
    <t>Publico</t>
  </si>
  <si>
    <t>Privado</t>
  </si>
  <si>
    <t>c)Doméstico</t>
  </si>
  <si>
    <t>d) Pasivo</t>
  </si>
  <si>
    <t>Jubilados Contributivos</t>
  </si>
  <si>
    <t xml:space="preserve"> Ascendiente de jub.-Titular</t>
  </si>
  <si>
    <t>e) No Contributivo</t>
  </si>
  <si>
    <t>Excombatiente</t>
  </si>
  <si>
    <t>f) Fiscalia</t>
  </si>
  <si>
    <t>Obligatorio</t>
  </si>
  <si>
    <t>Total Pacientes atendidos</t>
  </si>
  <si>
    <t>Cantidad de Prestaciones</t>
  </si>
  <si>
    <t xml:space="preserve">Laboratorio de Análisis </t>
  </si>
  <si>
    <t>Cantidad de Pacientes</t>
  </si>
  <si>
    <t>Determinaciones</t>
  </si>
  <si>
    <t>Radiografías</t>
  </si>
  <si>
    <t>Cantidad de placas utilizadas</t>
  </si>
  <si>
    <t>Mamografía</t>
  </si>
  <si>
    <t>Tomografía</t>
  </si>
  <si>
    <t>Cantidad de tomografia simple</t>
  </si>
  <si>
    <t xml:space="preserve">  Cantidad de tomografia contrastada</t>
  </si>
  <si>
    <t>Ecografía</t>
  </si>
  <si>
    <t>Ecocardiografía</t>
  </si>
  <si>
    <t>Monitoreo Fetal</t>
  </si>
  <si>
    <t>Espirometría</t>
  </si>
  <si>
    <t>Electrocardiograma</t>
  </si>
  <si>
    <t>Colposcopía y PAP</t>
  </si>
  <si>
    <t>Cantidad de Pacientes- PAP</t>
  </si>
  <si>
    <t>Cantidad de Pacientes- Colposcopía</t>
  </si>
  <si>
    <t>Fisioterapia y Rehabilitación</t>
  </si>
  <si>
    <t>Sesiones realizadas</t>
  </si>
  <si>
    <t>Banco de Sangre</t>
  </si>
  <si>
    <t>Cantidad de Extracciones</t>
  </si>
  <si>
    <t>Cantidad de Transfusiones</t>
  </si>
  <si>
    <t>Cirugia Menor</t>
  </si>
  <si>
    <t xml:space="preserve">Medicamentos Proveídos </t>
  </si>
  <si>
    <t>Recetas Proveídas</t>
  </si>
  <si>
    <t>Total de Medicamentos</t>
  </si>
  <si>
    <t>Medicamentos Cronicos</t>
  </si>
  <si>
    <t>Hemodialisis</t>
  </si>
  <si>
    <t>Cantidad de pacientes Hemodializados</t>
  </si>
  <si>
    <t>Total de sesiones de Hemodialisis</t>
  </si>
  <si>
    <t xml:space="preserve">Control Signos vitales </t>
  </si>
  <si>
    <t>Curaciones</t>
  </si>
  <si>
    <t>H.G.T. (Prueba de Diabetes)</t>
  </si>
  <si>
    <t>Hidratación</t>
  </si>
  <si>
    <t>Inyecciones</t>
  </si>
  <si>
    <t>Aerosolterapia</t>
  </si>
  <si>
    <t>Nebulización</t>
  </si>
  <si>
    <t>Cantidad de pacientes en Observación</t>
  </si>
  <si>
    <t>Cantidad de pacientes evac.</t>
  </si>
  <si>
    <t>Cantida de pacientes Obstetricia</t>
  </si>
  <si>
    <t>BCG</t>
  </si>
  <si>
    <t>OPV</t>
  </si>
  <si>
    <t>SPR</t>
  </si>
  <si>
    <t>AA</t>
  </si>
  <si>
    <t>EGRESOS</t>
  </si>
  <si>
    <t xml:space="preserve"> Cantidad de tomografia contrastada</t>
  </si>
  <si>
    <t>Hemodiálisis</t>
  </si>
  <si>
    <t>INSTITUTO DE PREVISION SOCIAL</t>
  </si>
  <si>
    <t>DIRECCION DE PLANIFICACION</t>
  </si>
  <si>
    <t>DEPARTAMENTO DE ESTADISTICA - SECCION BIOESTADISTICAS</t>
  </si>
  <si>
    <t>PRINCIPIO DEL DIA</t>
  </si>
  <si>
    <t>ALTAS</t>
  </si>
  <si>
    <t>TRASLADOS</t>
  </si>
  <si>
    <t>OBITOS</t>
  </si>
  <si>
    <t>CONSULTAS ODONTOLÓGICAS</t>
  </si>
  <si>
    <t>ADULTOS</t>
  </si>
  <si>
    <t>METODOS AUXILIARES DE DIAGNÓSTICO</t>
  </si>
  <si>
    <t>OTRAS PRESTACIONES</t>
  </si>
  <si>
    <t xml:space="preserve"> INSTITUTO DE PREVISION SOCIAL</t>
  </si>
  <si>
    <t>JubIlados del Magisterio</t>
  </si>
  <si>
    <t>Jubilados  y Pensionados</t>
  </si>
  <si>
    <t>Ascendiente de jubilados.-Titular</t>
  </si>
  <si>
    <t>Descendientes del Magisterio Público</t>
  </si>
  <si>
    <t>Descendientes del Magisterio Privado</t>
  </si>
  <si>
    <t>Ascendientes del Magisterio Público</t>
  </si>
  <si>
    <t>Ascendientes del Magisterio Privado</t>
  </si>
  <si>
    <t xml:space="preserve"> Cantidad de Pacientes</t>
  </si>
  <si>
    <t xml:space="preserve"> Cantidad de tomografia simple</t>
  </si>
  <si>
    <t xml:space="preserve">  Cantidad de Pacientes</t>
  </si>
  <si>
    <t xml:space="preserve"> Cantidad de Pacientes- PAP</t>
  </si>
  <si>
    <t xml:space="preserve"> Cantidad de Pacientes- Colposcopía</t>
  </si>
  <si>
    <t xml:space="preserve">  Sesiones realizadas</t>
  </si>
  <si>
    <t xml:space="preserve"> Cantidad de Extracciones</t>
  </si>
  <si>
    <t xml:space="preserve"> Cantidad de Transfusiones</t>
  </si>
  <si>
    <t xml:space="preserve">  Cantidad de pacientes Hemodializados</t>
  </si>
  <si>
    <t>CONSULTAS MÉDICAS</t>
  </si>
  <si>
    <t>PACIENTES ATENDIDOS EN ENFERMERÍA</t>
  </si>
  <si>
    <t>VACUNACIÓN</t>
  </si>
  <si>
    <t>SERVICIO DE URGENCIAS</t>
  </si>
  <si>
    <t>PLANILLA DIARIA DE PACIENTES ATENDIDOS EN ENFERMERÍA</t>
  </si>
  <si>
    <t xml:space="preserve"> CONSULTAS MÉDICAS</t>
  </si>
  <si>
    <t>PEDIÁTRICAS</t>
  </si>
  <si>
    <t>MÉTODOS AUXILIARES DE DIAGNÓSTICO</t>
  </si>
  <si>
    <t>ENFERMERÍA</t>
  </si>
  <si>
    <t>CIRUGÍA</t>
  </si>
  <si>
    <t>MAYOR</t>
  </si>
  <si>
    <t>ENCARGADO DE ESTADÍSTICAS</t>
  </si>
  <si>
    <t>DIRECTOR</t>
  </si>
  <si>
    <t>FIRMA</t>
  </si>
  <si>
    <t>FIRMA Y SELLO</t>
  </si>
  <si>
    <t>TOTAL PACIENTES  DIA</t>
  </si>
  <si>
    <t xml:space="preserve">CANTIDAD DE CAMAS:       </t>
  </si>
  <si>
    <t>TOTAL</t>
  </si>
  <si>
    <t>f) Fiscalía</t>
  </si>
  <si>
    <t>Cirugia Mayor</t>
  </si>
  <si>
    <t xml:space="preserve">  Total de sesiones de Hemodiálisis</t>
  </si>
  <si>
    <t>TOTAL EGRESOS</t>
  </si>
  <si>
    <t>PROFESIONAL</t>
  </si>
  <si>
    <t>NOMBRE</t>
  </si>
  <si>
    <t>PRESTACIONES ODONTOLOGICAS</t>
  </si>
  <si>
    <t xml:space="preserve">Test p/ Influenza </t>
  </si>
  <si>
    <t>TP</t>
  </si>
  <si>
    <t>TTPA</t>
  </si>
  <si>
    <t xml:space="preserve">FIBRINOGENO </t>
  </si>
  <si>
    <t>VDRL (Sífilis)</t>
  </si>
  <si>
    <t>HCG (Sangre)</t>
  </si>
  <si>
    <t>HDL Colesterol</t>
  </si>
  <si>
    <t>G.P.T</t>
  </si>
  <si>
    <t>G.O.T</t>
  </si>
  <si>
    <t>ROTATEST</t>
  </si>
  <si>
    <t>L.D.H</t>
  </si>
  <si>
    <t>CKT</t>
  </si>
  <si>
    <t>CKMB</t>
  </si>
  <si>
    <t>DETERMINACIONES</t>
  </si>
  <si>
    <t>PRESTACIONES  LABORATORIALES</t>
  </si>
  <si>
    <t>TOTALES</t>
  </si>
  <si>
    <t>PEDIATRICOS</t>
  </si>
  <si>
    <t>1-SALUD SEXUAL REPRODUCTIVA</t>
  </si>
  <si>
    <t>1.1. Maternidad Segura</t>
  </si>
  <si>
    <t xml:space="preserve"> Número de embarazadas que se realizan test rápidos para VIH y Sífilis </t>
  </si>
  <si>
    <t>Numeros de anticonceptivos Orales</t>
  </si>
  <si>
    <t xml:space="preserve">Numeros de Barreras preservativos </t>
  </si>
  <si>
    <t>Numeros de DIU</t>
  </si>
  <si>
    <t xml:space="preserve"> Número de Test rápido para VIH positivo</t>
  </si>
  <si>
    <t xml:space="preserve"> Número de Test rápido para Sífilis positivo</t>
  </si>
  <si>
    <t xml:space="preserve"> Numeros de Test rápidos para VIH y Sífilis </t>
  </si>
  <si>
    <t xml:space="preserve"> Número de Recién nacidos con VDRL positivo</t>
  </si>
  <si>
    <t xml:space="preserve"> Número de charlas en sala de espera</t>
  </si>
  <si>
    <t>1.2.Atencion Prenatal</t>
  </si>
  <si>
    <t xml:space="preserve"> Número de embaradas con un mínimo de 4 Controles prenatales</t>
  </si>
  <si>
    <t xml:space="preserve"> Numero  de embarazadas con control prenatal</t>
  </si>
  <si>
    <t xml:space="preserve"> Número de embarazadas &lt; de 18 años con atención prenatal</t>
  </si>
  <si>
    <t xml:space="preserve"> Número de cesáreas realizadas en el Servicio</t>
  </si>
  <si>
    <t xml:space="preserve"> Numero  de partos realizados</t>
  </si>
  <si>
    <t xml:space="preserve"> Número de Recién nacidos con peso &lt; a 2500 gr</t>
  </si>
  <si>
    <t xml:space="preserve"> Numero  de Nacimientos en el Servicio de Salud</t>
  </si>
  <si>
    <t xml:space="preserve"> Número de embarazadas con control odontológico</t>
  </si>
  <si>
    <t>1.3.Emergencias Obstétricas-Código Rojo</t>
  </si>
  <si>
    <t xml:space="preserve"> Número de Emergencias Obstétricas atendidas en el Servicio de Salud</t>
  </si>
  <si>
    <t xml:space="preserve"> Número de Emergencias Obstétricas resueltas con éxito en el Servicio de Salud</t>
  </si>
  <si>
    <t>1.4. Mortalidad Materna y Mortalidad Neonatal</t>
  </si>
  <si>
    <t xml:space="preserve"> Número de muertes maternas en el Servicio </t>
  </si>
  <si>
    <t xml:space="preserve"> Número de nacidos vivos en el Servicio de Salud</t>
  </si>
  <si>
    <t xml:space="preserve"> Número de muertes maternas por causas biológicas:</t>
  </si>
  <si>
    <t>Numero de embarazadas con Hemorragia</t>
  </si>
  <si>
    <t>Numero de embarazadas con Infecciones</t>
  </si>
  <si>
    <t>Numero de Aborto</t>
  </si>
  <si>
    <t xml:space="preserve"> Número de Recien nacidos fallecidos &lt; a 28 días de vida</t>
  </si>
  <si>
    <t>1.5. Lactancia Materna</t>
  </si>
  <si>
    <t>1.5.1. Número de Recién nacidos con lactancia materna exclusiva al alta</t>
  </si>
  <si>
    <t>1.5.2. Número de Recién nacidos dados de alta</t>
  </si>
  <si>
    <t xml:space="preserve">1.5.3. Cumple el Servicio de Salud con los 10 pasos de la Lactancia Materna </t>
  </si>
  <si>
    <t>1.5.4. Número de charlas realizadas en el Servicio de Salud sobre beneficios de la Lactancia Materna (40 charlas como mínimo)</t>
  </si>
  <si>
    <t>2- Programa de Prevención del Cancer Cérvico-uterino y Mamas</t>
  </si>
  <si>
    <t>2.1. Número de pruebas de PAP con resultado positivo</t>
  </si>
  <si>
    <t xml:space="preserve">2.2.  Numero de pruebas de PAP realizados                          </t>
  </si>
  <si>
    <t>2.3. Número de estudios de Colposcopía realizados</t>
  </si>
  <si>
    <t>2.4. Número de pacientes con diagnóstico de Cáncer de cuello uterino</t>
  </si>
  <si>
    <t>2.5. Número de mujeres que consultan en el Servicio de Salud</t>
  </si>
  <si>
    <t>2.6. Número de pacientes con diagnóstico de Cáncer de Mama</t>
  </si>
  <si>
    <t>2.7. Número total de consultas (Varones + Mujeres) en el Servicio de Salud</t>
  </si>
  <si>
    <t>3- Programa de Prevención de la Violencia Intrafamiliar y de Género</t>
  </si>
  <si>
    <t>3.2. Número de mujeres que consultan en el Servicio de Salud víctimas de violencia</t>
  </si>
  <si>
    <t>3.3. Número de niños y niñas víctimas de violencia y abuso sexual :</t>
  </si>
  <si>
    <t>Numero de Niños</t>
  </si>
  <si>
    <t>Numeros de Niñas</t>
  </si>
  <si>
    <t>4. Programa de Adultos Mayores: VIDA PLENA</t>
  </si>
  <si>
    <t>4.1. Número de Adultos mayores que realizan actividades socio-sanitarias (caminatas, hidrogyn, danza, manualidades, canto, etc)</t>
  </si>
  <si>
    <t>4.2. Número de charlas sobre estilos de vida saludables y factores de riesgo</t>
  </si>
  <si>
    <t>4.3. Número de adultos mayores que participan en Club de Hipertensión Arterial</t>
  </si>
  <si>
    <t>4.4. Número de adultos mayores que participan en Club de Diabetes</t>
  </si>
  <si>
    <t>5. Programa Salud del Adolescente</t>
  </si>
  <si>
    <t>5.1. Número de adolescentes con aplicación del test psico-emocional</t>
  </si>
  <si>
    <t>5.2. Número de charlas sobre salud sexual y reproductiva y hábitos de higiene</t>
  </si>
  <si>
    <t xml:space="preserve"> Número de charlas sobre prevención de adicciones y violencia</t>
  </si>
  <si>
    <t xml:space="preserve"> Número de adolescentes con inspección buco-dental</t>
  </si>
  <si>
    <t xml:space="preserve"> Número de adolescentes con alteración nutricional</t>
  </si>
  <si>
    <t>Numero de adolescentes con Desnutricion</t>
  </si>
  <si>
    <t>Numero de adolescente con sobrepeso</t>
  </si>
  <si>
    <t>Numero de adolescentes con obesidad</t>
  </si>
  <si>
    <t xml:space="preserve"> Número de adolescentes participando en Club de Adolescentes en su tiempo libre</t>
  </si>
  <si>
    <t>6.Programa Salud del Niño</t>
  </si>
  <si>
    <t>Consultorio externo Pediatria</t>
  </si>
  <si>
    <t>6.1- Numero de niños/as  menor a 5 años que consultan en Crecimiento y Desarrollo .</t>
  </si>
  <si>
    <t>6.2- Numero de niños/as menores a 5 años con control de Crecimiento:</t>
  </si>
  <si>
    <t>Peso Normal :</t>
  </si>
  <si>
    <t>Sobrepeso:</t>
  </si>
  <si>
    <t>Obesidad:</t>
  </si>
  <si>
    <t>Desnutridos:</t>
  </si>
  <si>
    <t>6.3- Numero de niños/as menores de 5 años con transtornos de desarrollo</t>
  </si>
  <si>
    <t>6.3- Numero de charlas en sala de espera  de Pediatria</t>
  </si>
  <si>
    <t>6.4- Numero de R.N ( Menor a 28 Dias) que consultan en Pediatria</t>
  </si>
  <si>
    <t>6.5- Numero de niños/as menor a 6 Meses que consultan en Pediatria</t>
  </si>
  <si>
    <t>6.6- Numero de niños/as menor de 5 años con No Neumonia</t>
  </si>
  <si>
    <t>6.7-Numero de niños/as menor de 5 años con  cuadro gripal.</t>
  </si>
  <si>
    <t xml:space="preserve">6.8-Numero de niños/as  menor a 6 meses que reciben LME </t>
  </si>
  <si>
    <t>6.9-Numero de niños /as menor de 5 años con Anemia.</t>
  </si>
  <si>
    <t xml:space="preserve">6.10- Numero de niños/as menor de 5 años con Parasitosis  </t>
  </si>
  <si>
    <t xml:space="preserve">6.11- Numero de niños menores de 5 años Inmunizados </t>
  </si>
  <si>
    <t>6.12- Numero de Charlas realizadas a Familiares.</t>
  </si>
  <si>
    <t xml:space="preserve"> Indicadores del Area de Internado</t>
  </si>
  <si>
    <t>6.13- Numero de niños/as menores de 5 años internados con Neumonia.</t>
  </si>
  <si>
    <t>6.14- Numero de niños/as menores de 5 años con Neumonia Grave.</t>
  </si>
  <si>
    <t>6.15.3- Numero de niños/as menores de 5 años con Diarrea</t>
  </si>
  <si>
    <t>6.16-Numero de niños/as menores de 5 años con Diarrea con Deshidratacion Grave</t>
  </si>
  <si>
    <t>7.5-Numero de Charlas  realizadas a Familiares</t>
  </si>
  <si>
    <t>7-Programa Salud Bucodental</t>
  </si>
  <si>
    <t>7.1 Numero de charlas educativas en salud bucodental.</t>
  </si>
  <si>
    <t>7.2 Numero total de inspeccion bucodental</t>
  </si>
  <si>
    <t>7.3 Numero de inspeccion en Adulto mayor</t>
  </si>
  <si>
    <t>7.4 Numero de inspeccion  en Adolescentes</t>
  </si>
  <si>
    <t>7.5 Numero de inspeccion en Niños</t>
  </si>
  <si>
    <t>Número de nacidos vivos en el Servicio de Salud</t>
  </si>
  <si>
    <t>ROTAVIRUS</t>
  </si>
  <si>
    <t>IPV (NUEVA VAC.)</t>
  </si>
  <si>
    <t>PENTAVALENTE</t>
  </si>
  <si>
    <t>NEUMO23</t>
  </si>
  <si>
    <t>DPT</t>
  </si>
  <si>
    <t>TDPA (acelular)</t>
  </si>
  <si>
    <t>PCV 10</t>
  </si>
  <si>
    <t>DT</t>
  </si>
  <si>
    <t>VARICELA</t>
  </si>
  <si>
    <t>HEPATITIS B</t>
  </si>
  <si>
    <t>HEPATITIS A</t>
  </si>
  <si>
    <t>SUERO ANTITETANICO</t>
  </si>
  <si>
    <t>ANTITETANICA</t>
  </si>
  <si>
    <t>VHPV</t>
  </si>
  <si>
    <t>MENACTRA</t>
  </si>
  <si>
    <t>PREVENAR13</t>
  </si>
  <si>
    <t>INFLUENZA ADULTO</t>
  </si>
  <si>
    <t>INFLUENZA PEDIATRICO</t>
  </si>
  <si>
    <t>1.2. Número de pacientes testados en el mes en población abierta</t>
  </si>
  <si>
    <t>TOTAL PACIENTES</t>
  </si>
  <si>
    <t xml:space="preserve">1.1. Número de  pacientes internados en la población general (PG) con consejerías pre-test  realizadas en el mes </t>
  </si>
  <si>
    <t>TOTAL DE VACUNAS</t>
  </si>
  <si>
    <t>N° DE BENEFICIARIOS</t>
  </si>
  <si>
    <t>FEMENINO</t>
  </si>
  <si>
    <t>MASCULINO</t>
  </si>
  <si>
    <t>MENORES DE 1 AÑO</t>
  </si>
  <si>
    <t>1 A 3 AÑOS</t>
  </si>
  <si>
    <t>4 A 14 AÑOS</t>
  </si>
  <si>
    <t>15 A 59 AÑOS</t>
  </si>
  <si>
    <t>60 Y MAS</t>
  </si>
  <si>
    <t xml:space="preserve">TOTAL CONSULTAS MÉDICAS </t>
  </si>
  <si>
    <t>TABLA SP 1 - CONSULTAS MEDICAS Y ODONTOLÓGICAS</t>
  </si>
  <si>
    <t>TOTAL DE VACUNAS REALIZADAS</t>
  </si>
  <si>
    <t>TABLA SP  7 - PRESTACIONES LABORATORIALES Y DETERMINACIONES</t>
  </si>
  <si>
    <t>TOTAL DETERMINACIONES LABORATORIALES</t>
  </si>
  <si>
    <t>NRO PATRONAL</t>
  </si>
  <si>
    <t>ENCARGADO DE ESTADISTICAS</t>
  </si>
  <si>
    <t>DEPARTAMENTO DE ESTADISTICAS - SECCION BIOESTADISTICAS</t>
  </si>
  <si>
    <t>CODIGO:</t>
  </si>
  <si>
    <t>TABLA SP  2 - PRESTACIONES ODONTOLOGICAS</t>
  </si>
  <si>
    <t>TABLA SP  3 - ESPECIALIDADES MEDICAS</t>
  </si>
  <si>
    <t>MEDICAMENTOS</t>
  </si>
  <si>
    <t>CONSULTAS</t>
  </si>
  <si>
    <t>CONSULTAS POR CONVENIO</t>
  </si>
  <si>
    <t>TOTAL RECETAS PROVEIDAS</t>
  </si>
  <si>
    <t>TABLA SP  9 - PACIENTES ATENDIDOS EN ENFERMERIA - VACUNACION</t>
  </si>
  <si>
    <t xml:space="preserve">TABLA SP  10 - HOSPITALIZACION </t>
  </si>
  <si>
    <t xml:space="preserve">TABLA SP  11 - PLANILLA DIARIA DE PACIENTE DIA </t>
  </si>
  <si>
    <t>TABLA SP  13 - PROGRAMAS DE SALUD - CONTINUACION</t>
  </si>
  <si>
    <t>TABLA SP  13 - PROGRAMAS DE SALUD</t>
  </si>
  <si>
    <t>TOTAL CONSULTAS</t>
  </si>
  <si>
    <t>CONSULTAS REALIZADAS</t>
  </si>
  <si>
    <t>Coloproctologia</t>
  </si>
  <si>
    <t>TOTAL CONSULTAS POR  PROFESIONAL</t>
  </si>
  <si>
    <t>CODIGO</t>
  </si>
  <si>
    <t xml:space="preserve">CLASIFICACION DE VACUNACIONES POR: </t>
  </si>
  <si>
    <t>OTRAS</t>
  </si>
  <si>
    <t>DEPARTAMENTO DE EPIDEMIOLOGÍA</t>
  </si>
  <si>
    <t>1. Planilla de Registro del Programa de VIH/Sida</t>
  </si>
  <si>
    <t>2. Prevención de la Transmisión Vertical</t>
  </si>
  <si>
    <t>2.1. Número de pacientes testadOs en Perinatología y/o Sala de Partos</t>
  </si>
  <si>
    <t>2.2. Número de Consejerías post-test en pacientes positivos realizados en el mes</t>
  </si>
  <si>
    <t>3. Planilla de Registro del Programa de Tuberculosis</t>
  </si>
  <si>
    <t>3.1. Número de Sintomáticos Respiratorios captados y notificados al PNCT</t>
  </si>
  <si>
    <t>3.2. Número de casos de TB captados y notificados al PNCT</t>
  </si>
  <si>
    <t>3.3. Número de muestras examinadas</t>
  </si>
  <si>
    <t>3.4. Número de Recursos Humanos capacitados en la prevención, diagnóstico y tratamiento de la TB</t>
  </si>
  <si>
    <t>4. Planilla de Registro de Enfermedades No Transmisibles</t>
  </si>
  <si>
    <t>4.1. Número de pacientes con diagnóstico de Diabetes Mellitus tipo II</t>
  </si>
  <si>
    <t>4.2. Número de pacientes con diagnóstico de Hipertensión Arterial</t>
  </si>
  <si>
    <t>4.3. Número de pacientes con diagnóstico de Enfermedad Isquémica del Corazón</t>
  </si>
  <si>
    <t>4.4. Número de pacientes con diagnóstico de Asma o Estados Asmáticos</t>
  </si>
  <si>
    <t xml:space="preserve"> 1.1.1.Número de embarazadas que se realizan test rápidos para VIH y Sífilis </t>
  </si>
  <si>
    <t xml:space="preserve"> 1.1.2.Número usuarios asegurados que retiran anticonceptivos Orales</t>
  </si>
  <si>
    <t xml:space="preserve"> 1.1.3.Número de usuarios que retiran dispositivos de barreras </t>
  </si>
  <si>
    <t xml:space="preserve"> 1.1.4.Número de test rápido para VIH positivo</t>
  </si>
  <si>
    <t xml:space="preserve"> 1.1.5.Número de Test rápido para Sífilis positivo</t>
  </si>
  <si>
    <t xml:space="preserve"> 1.1.6.Número de Test rápidos para VIH y Sífilis </t>
  </si>
  <si>
    <t xml:space="preserve"> 1.1.7.Número de Recién nacidos con VDRL positivo</t>
  </si>
  <si>
    <t xml:space="preserve"> 1.1.8.Número de nacidos vivos en el Servicio de Salud</t>
  </si>
  <si>
    <t xml:space="preserve"> 1.1.9.Número de charlas sobre Salud Sexual y Reproductiva realizados en la Sala de espera</t>
  </si>
  <si>
    <t xml:space="preserve"> 1.2.1.Número de embarazadas con control prenatal en el primer trimestre de embarazo</t>
  </si>
  <si>
    <t xml:space="preserve"> 1.2.2.Número de embaradas con Control Prenatal</t>
  </si>
  <si>
    <t xml:space="preserve"> 1.2.3.Número de embarazadas con control prenatal nulo</t>
  </si>
  <si>
    <t xml:space="preserve"> 1.3.1.Número de Emergencias Obstétricas atendidas en el Servicio de Salud</t>
  </si>
  <si>
    <t xml:space="preserve"> 1.3.2.Número de Emergencias Obstétricas resueltas con éxito en el Servicio de Salud</t>
  </si>
  <si>
    <t xml:space="preserve"> 1.4.1.Número de muertes maternas en el Servicio </t>
  </si>
  <si>
    <t xml:space="preserve"> 1.4.2.Número de nacidos vivos en el Servicio de Salud</t>
  </si>
  <si>
    <t xml:space="preserve"> 1.4.3.Número de muertes maternas por causas biológicas:</t>
  </si>
  <si>
    <t xml:space="preserve"> 1.4.3.1.Número de embarazadas con Hemorragia</t>
  </si>
  <si>
    <t xml:space="preserve"> 1.4.3.2.Número de embarazadas con Infecciones.</t>
  </si>
  <si>
    <t xml:space="preserve"> 1.4.4. Número de Aborto.</t>
  </si>
  <si>
    <t xml:space="preserve"> 1.4.5.Número de Recién nacidos fallecidos &lt; a 28 días de vida</t>
  </si>
  <si>
    <t xml:space="preserve"> 1.5.1.Número de Recién nacidos con lactancia materna exclusiva al alta</t>
  </si>
  <si>
    <t xml:space="preserve"> 1.5.2.Número de Recién nacidos dados de alta</t>
  </si>
  <si>
    <t xml:space="preserve"> 1.5.3.Cumple el Servicio de Salud con los 10 pasos de la Lactancia Materna </t>
  </si>
  <si>
    <t xml:space="preserve"> 1.5.4.Número de charlas realizadas en el Servicio de Salud sobre beneficios de la Lactancia Materna (40 charlas como mínimo)</t>
  </si>
  <si>
    <t xml:space="preserve"> 2.1. Número de pruebas de PAP con resultado positivo</t>
  </si>
  <si>
    <t xml:space="preserve"> 2.2.  Número de pruebas de PAP realizados                          </t>
  </si>
  <si>
    <t xml:space="preserve"> 2.3. Número de estudios de Colposcopía realizados</t>
  </si>
  <si>
    <t xml:space="preserve"> 2.4. Número de pacientes con diagnóstico de Cáncer de cuello uterino</t>
  </si>
  <si>
    <t xml:space="preserve"> 2.5. Número de mujeres que consultan en el Servicio de Salud</t>
  </si>
  <si>
    <t xml:space="preserve"> 2.6. Número de pacientes con diagnóstico de Cáncer de Mama</t>
  </si>
  <si>
    <t xml:space="preserve"> 2.7. Número total de consultas (Varones + Mujeres) en el Servicio de Salud</t>
  </si>
  <si>
    <t xml:space="preserve"> 2.8.Número de charlas realizadas sobre prevencion del cáncer cervico-uterino</t>
  </si>
  <si>
    <t xml:space="preserve"> 3.1. Número de mujeres que consultan en el Servicio de Salud víctimas de violencia</t>
  </si>
  <si>
    <t xml:space="preserve"> 3.3.Número de charlas realizadas sobre prevención de violencia intrafamiliar.</t>
  </si>
  <si>
    <t xml:space="preserve"> 4.1.Número de Adultos mayores que realizan actividades socio-sanitarias (caminatas, hidrogyn, danza, manualidades, canto, etc)</t>
  </si>
  <si>
    <t xml:space="preserve"> 4.2.Número de charlas sobre estilos de vida saludables y factores de riesgo</t>
  </si>
  <si>
    <t xml:space="preserve"> 4.3.Número de adultos mayores que participan en Club de Hipertensión Arterial</t>
  </si>
  <si>
    <t xml:space="preserve"> 4.4.Número de adultos mayores que participan en Club de Diabetes</t>
  </si>
  <si>
    <t xml:space="preserve"> 4.5.Número de charlas realizadas sobre factores de riesgo.</t>
  </si>
  <si>
    <t xml:space="preserve"> 5.1.Número de adolescentes con aplicación del test psico-emocional</t>
  </si>
  <si>
    <t xml:space="preserve"> 5.2.Número de charlas sobre salud sexual y reproductiva y hábitos de higiene</t>
  </si>
  <si>
    <t xml:space="preserve"> 5.3.Número de charlas sobre prevención de adicciones y violencia</t>
  </si>
  <si>
    <t xml:space="preserve"> 5.4.Número de adolescentes con signos de violencia detectados que consultan en los Servicios de Salud</t>
  </si>
  <si>
    <t xml:space="preserve"> 5.5.Número de adolescentes con inspección buco-dental</t>
  </si>
  <si>
    <t xml:space="preserve"> 5.6.Número de adolescentes con alteración nutricional</t>
  </si>
  <si>
    <t xml:space="preserve"> 5.6.1.Número de adolescentes con Desnutricion</t>
  </si>
  <si>
    <t xml:space="preserve"> 5.6.2.Número de adolescente con sobrepeso</t>
  </si>
  <si>
    <t xml:space="preserve"> 5.6.3.Número de adolescentes con obesidad</t>
  </si>
  <si>
    <t xml:space="preserve"> 5.7.Número de adolescentes participando en Club de Adolescentes en su tiempo libre</t>
  </si>
  <si>
    <t>6.1. Consultorio externo Pediatria</t>
  </si>
  <si>
    <t xml:space="preserve"> 6.1.1.Número de niños/as  &lt; a 5 años que consultan en Crecimiento y Desarrollo .</t>
  </si>
  <si>
    <t xml:space="preserve"> 6.1.2.Número de niños/as menores a 5 años con alteración del estado nutricional: </t>
  </si>
  <si>
    <t xml:space="preserve"> 6.1.2.1.Peso Normal :</t>
  </si>
  <si>
    <t xml:space="preserve"> 6.1.2.2. Sobrepeso:</t>
  </si>
  <si>
    <t xml:space="preserve"> 6.1.2.3. Obesidad:</t>
  </si>
  <si>
    <t xml:space="preserve"> 6.1.2.4. Desnutridos:</t>
  </si>
  <si>
    <t xml:space="preserve"> 6.1.3.Número de niños/as &lt; a 5 años con transtornos de desarrollo</t>
  </si>
  <si>
    <t xml:space="preserve"> 6.1.4.Número de charlas en sala de espera  de Pediatría</t>
  </si>
  <si>
    <t xml:space="preserve"> 6..1.5.Número de R.N ( &lt; a 28 días) que consultan en Pediatría</t>
  </si>
  <si>
    <t xml:space="preserve"> 6.1.6.Número de niños/as &lt; a 6 meses que consultan en Pediatría</t>
  </si>
  <si>
    <t xml:space="preserve"> 6.1.7.Número de niños/as &lt;  a 5 años con diagnóstico de No Neumonía</t>
  </si>
  <si>
    <t xml:space="preserve"> 6.1.8.Número de niños/as &lt;  a 5 años con  con diagnóstico de Gripe</t>
  </si>
  <si>
    <t xml:space="preserve"> 6.1.9.Número de niños/as  &lt;  a 6 meses que reciben Lactancia Materna Exclusiva </t>
  </si>
  <si>
    <t xml:space="preserve"> 6.1.10.Número de niños /as &lt; a 5 años con Anemia</t>
  </si>
  <si>
    <t xml:space="preserve"> 6.1.11.Número de niños/as &lt; a 5 años con Parasitosis  </t>
  </si>
  <si>
    <t xml:space="preserve"> 6.1.12.Número de niños/as  &lt; a 5 años Inmunizados </t>
  </si>
  <si>
    <t xml:space="preserve"> 6.2. Indicadores del Area de Internado</t>
  </si>
  <si>
    <t xml:space="preserve"> 6.2.1.Número de niños/as &lt;  a 5 años internados con diagnóstico de  Neumonía.</t>
  </si>
  <si>
    <t xml:space="preserve"> 6.2.2.Número de niños/as &lt; a 5 años con diagnóstico de Neumonía Grave.</t>
  </si>
  <si>
    <t>7. Salud Bucodental.</t>
  </si>
  <si>
    <t xml:space="preserve"> 7.1.Número de charlas educativas en Salud Buco-dental</t>
  </si>
  <si>
    <t xml:space="preserve"> 7.2.Número total de inspección bucodental</t>
  </si>
  <si>
    <t xml:space="preserve"> 7.3 Número de inspección en Adulto mayor</t>
  </si>
  <si>
    <t xml:space="preserve"> 7.4. Número de inspección  buco-dental en Adolescentes</t>
  </si>
  <si>
    <t xml:space="preserve"> 7.5. Número de inspección buco-dental en Niños: </t>
  </si>
  <si>
    <t>6.2.4. Número de niños/as &lt; a 5 años con diagnóstico de Diarrea con Deshidratacion Grave</t>
  </si>
  <si>
    <t xml:space="preserve"> 6..2.3.Número de niños/as &lt;  a  5 años con Diarrea</t>
  </si>
  <si>
    <t>1.2. Atencion Prenatal</t>
  </si>
  <si>
    <t>PROGRAMAS DE SALUD SEXUAL Y REPRODUCTIVA</t>
  </si>
  <si>
    <t>URGENCIAS</t>
  </si>
  <si>
    <t>OBTURACIONES CON EUGENATO</t>
  </si>
  <si>
    <t>OBTURACIONES PROVISORIAS CON IONOMERO</t>
  </si>
  <si>
    <t>OBTURACIONES DEFINITIVAS CON IONOMERO</t>
  </si>
  <si>
    <t>OBTURACIONES CON RESINA</t>
  </si>
  <si>
    <t>SELLADO</t>
  </si>
  <si>
    <t>ACABADO-PULIDO</t>
  </si>
  <si>
    <t>CEMENTACION</t>
  </si>
  <si>
    <t>PROFILAXIS</t>
  </si>
  <si>
    <t>DETARTRAJE SUPERIOR</t>
  </si>
  <si>
    <t>DETARTRAJE INFERIOR</t>
  </si>
  <si>
    <t>TECNICA DE HIGIENE BUCAL ( Geriatrico)</t>
  </si>
  <si>
    <t>LIMPIEZA DE PROTESIS</t>
  </si>
  <si>
    <t>DRENAJE</t>
  </si>
  <si>
    <t>EXODONCIA DE PERMANENTES</t>
  </si>
  <si>
    <t>Rx. PERI APICAL</t>
  </si>
  <si>
    <t>EXODONCIA DE DIENTES TEMPORARIOS</t>
  </si>
  <si>
    <t>DRENAJE DE ABSCESOS</t>
  </si>
  <si>
    <t>VENTANA QUIRURGICA</t>
  </si>
  <si>
    <t>PULPOTOMIA</t>
  </si>
  <si>
    <t>TRATAMIENTO DE DIENTES CON NECROSIS</t>
  </si>
  <si>
    <t>PPI/PPD</t>
  </si>
  <si>
    <t>MEDICACION - CURA DEMORA</t>
  </si>
  <si>
    <t>FLUORIZACION</t>
  </si>
  <si>
    <t>PEDIDOS DE ANALISIS CLINICOS</t>
  </si>
  <si>
    <t>PEDIDO DE ORTOPANTOMOGRAFIA</t>
  </si>
  <si>
    <t>PEDIDO DE TAC Y/O RESONANCIA MAGNETICA</t>
  </si>
  <si>
    <t>INTERCONSULTA MEDICA</t>
  </si>
  <si>
    <t>EXERESIS DE TUMORES Y QUISTES</t>
  </si>
  <si>
    <t>BIOPSIA</t>
  </si>
  <si>
    <t>EXODONCIA QUIRURGICA</t>
  </si>
  <si>
    <t>CIERRE DE COMUNICACIÓN BUCO SINUSAL</t>
  </si>
  <si>
    <t>EXODONCIA A COLGAJO</t>
  </si>
  <si>
    <t>REGULARIZACION DE BORDES</t>
  </si>
  <si>
    <t>ESPONJA QUIRURGICA</t>
  </si>
  <si>
    <t>SUTURA</t>
  </si>
  <si>
    <t xml:space="preserve">RETIRO DE PUNTOS </t>
  </si>
  <si>
    <t>ALTA</t>
  </si>
  <si>
    <t>ANESTESIA</t>
  </si>
  <si>
    <t>ESTUDIOS COMPLEMENTARIOS</t>
  </si>
  <si>
    <t>CIRUGIA DE TERCEROS MOLARES</t>
  </si>
  <si>
    <t>REDUCCION DE FRACTURAS FACIALES</t>
  </si>
  <si>
    <t>PROMOCIÓN Y PREVENCIÓN (CHARLAS EDUCATIVAS)</t>
  </si>
  <si>
    <t>OTROS</t>
  </si>
  <si>
    <t>CONSULTAS MEDICAS</t>
  </si>
  <si>
    <t>CONSULTAS ODONTOLOGICAS</t>
  </si>
  <si>
    <t>CESAREAS</t>
  </si>
  <si>
    <t>PARTO NORMAL</t>
  </si>
  <si>
    <t>INTERNACION</t>
  </si>
  <si>
    <t>NRO. REG</t>
  </si>
  <si>
    <t>CARDIOLOGIA</t>
  </si>
  <si>
    <t>CARDIOLOGIA INFANTIL</t>
  </si>
  <si>
    <t>CIRUGIA DE MANO</t>
  </si>
  <si>
    <t>CIRUGIA GENERAL</t>
  </si>
  <si>
    <t>CIRUGIA PEDIATRICA</t>
  </si>
  <si>
    <t>CIRUGIA RECONSTRUCTIVA</t>
  </si>
  <si>
    <t>CIRUGIA VASCULAR PERIFERICA</t>
  </si>
  <si>
    <t>CLINICA MEDICA</t>
  </si>
  <si>
    <t>DERMATOLOGIA</t>
  </si>
  <si>
    <t>DIABETOLOGIA</t>
  </si>
  <si>
    <t>ENDOCRINOLOGIA</t>
  </si>
  <si>
    <t>FONOAUDIOLOGIA</t>
  </si>
  <si>
    <t>GASTROENTEROLOGIA</t>
  </si>
  <si>
    <t>GASTROENTEROLOGIA INFANTIL</t>
  </si>
  <si>
    <t>GERIATRIA</t>
  </si>
  <si>
    <t>GINECOLOGIA</t>
  </si>
  <si>
    <t>GINECO-OBSTETRICIA</t>
  </si>
  <si>
    <t>INFECTOLOGIA</t>
  </si>
  <si>
    <t>MASTOLOGIA</t>
  </si>
  <si>
    <t>NEFROLOGIA</t>
  </si>
  <si>
    <t>NEONATOLOGIA</t>
  </si>
  <si>
    <t>NEUMOLOGIA</t>
  </si>
  <si>
    <t>NEUROCIRUGIA</t>
  </si>
  <si>
    <t>NEUROLOGIA</t>
  </si>
  <si>
    <t>NUTRICION</t>
  </si>
  <si>
    <t>ODONTOLOGIA</t>
  </si>
  <si>
    <t>OFTALMOLOGIA</t>
  </si>
  <si>
    <t>ONCOLOGIA</t>
  </si>
  <si>
    <t>OTORRINOLARINGOLOGIA</t>
  </si>
  <si>
    <t>PEDIATRIA</t>
  </si>
  <si>
    <t>PLANIFICACION FAMILIAR</t>
  </si>
  <si>
    <t>PSICOLOGIA</t>
  </si>
  <si>
    <t>PSIQUIATRIA</t>
  </si>
  <si>
    <t>REUMATOLOGIA</t>
  </si>
  <si>
    <t>SALUD REPRODUCTIVA</t>
  </si>
  <si>
    <t>TRAUMATOLOGIA</t>
  </si>
  <si>
    <t>UROLOGIA</t>
  </si>
  <si>
    <t>CANTIDAD DE PACIENTES</t>
  </si>
  <si>
    <t>ACIDO URICO</t>
  </si>
  <si>
    <t>ALBUMINA</t>
  </si>
  <si>
    <t>AMILASA</t>
  </si>
  <si>
    <t>ARTRITEST</t>
  </si>
  <si>
    <t>ASTO (LATEX)</t>
  </si>
  <si>
    <t>BACTERIOLOGIA</t>
  </si>
  <si>
    <t>BILIRRUBINA DIRECTA</t>
  </si>
  <si>
    <t>BILIRRUBINA TOTAL</t>
  </si>
  <si>
    <t>CALCIO TOTAL</t>
  </si>
  <si>
    <t>COLESTEROL TOTAL</t>
  </si>
  <si>
    <t>CREATININA</t>
  </si>
  <si>
    <t>ELECTROLITOS (NA-K-CL)</t>
  </si>
  <si>
    <t>ERITROSEDIMENTACION</t>
  </si>
  <si>
    <t>FOSFATASA ALCALINA</t>
  </si>
  <si>
    <t>FOSFORO</t>
  </si>
  <si>
    <t>GAMMA GT</t>
  </si>
  <si>
    <t>GLICEMIA</t>
  </si>
  <si>
    <t>HEMOGRAMA</t>
  </si>
  <si>
    <t>HECES</t>
  </si>
  <si>
    <t>HEMOGLOBINA GLICOSILADA</t>
  </si>
  <si>
    <t>HIERRO</t>
  </si>
  <si>
    <t>MAGNESIO</t>
  </si>
  <si>
    <t>PROTEINA C. REACTIVA</t>
  </si>
  <si>
    <t>PROTEINAS TOTALES</t>
  </si>
  <si>
    <t>PROTEINURIA</t>
  </si>
  <si>
    <t>SANGRE OCULTA</t>
  </si>
  <si>
    <t xml:space="preserve">TEST p/ DENGUE </t>
  </si>
  <si>
    <t>TIPIFICACION</t>
  </si>
  <si>
    <t>TRIGLICERIDOS</t>
  </si>
  <si>
    <t>UREA</t>
  </si>
  <si>
    <t>URINALISIS</t>
  </si>
  <si>
    <t>RTO DE PLAQUETAS</t>
  </si>
  <si>
    <t>FROTIS DE SANGRE PERIF</t>
  </si>
  <si>
    <t>PROTEINA EN ORINA</t>
  </si>
  <si>
    <t>MONOTEST</t>
  </si>
  <si>
    <t>GLUCOSA</t>
  </si>
  <si>
    <t>CONTROL SIGNOS VITALES</t>
  </si>
  <si>
    <t>CURACIONES</t>
  </si>
  <si>
    <t>HIDRATACION</t>
  </si>
  <si>
    <t>INYECCIONES</t>
  </si>
  <si>
    <t>AEROSOLTERAPIA</t>
  </si>
  <si>
    <t>NEBULIZACION</t>
  </si>
  <si>
    <t>OBSTETRICIA</t>
  </si>
  <si>
    <t>CANTIDAD DE PACIENTES EN OBSERVACION</t>
  </si>
  <si>
    <t>CANTIDAD DE PACIENTES EVACUADOS</t>
  </si>
  <si>
    <t>DESCRIPCION</t>
  </si>
  <si>
    <t>TABLA SP 12 - PROGRAMA VIH - TUBERCULOSIS</t>
  </si>
  <si>
    <t>PLANILLA DIARIA DE PACIENTE DIA</t>
  </si>
  <si>
    <t xml:space="preserve">ENCARGADO DE ESTADISTICAS                                     </t>
  </si>
  <si>
    <t xml:space="preserve"> DIRECTOR</t>
  </si>
  <si>
    <t xml:space="preserve">FIRMA                                                                         </t>
  </si>
  <si>
    <t xml:space="preserve"> FIRMA Y SELLO</t>
  </si>
  <si>
    <t xml:space="preserve">ENCARGADO DE ESTADISTICAS                        </t>
  </si>
  <si>
    <t xml:space="preserve">FIRMA                                                             </t>
  </si>
  <si>
    <t xml:space="preserve">ENCARGADO DE ESTADISTICAS                                       </t>
  </si>
  <si>
    <t xml:space="preserve">FIRMA                                                                          </t>
  </si>
  <si>
    <t xml:space="preserve">  FIRMA Y SELLO</t>
  </si>
  <si>
    <t xml:space="preserve">ENCARGADO DE ESTADISTICAS                                   </t>
  </si>
  <si>
    <t xml:space="preserve">FIRMA                                                                        </t>
  </si>
  <si>
    <t xml:space="preserve">  DIRECTOR</t>
  </si>
  <si>
    <t xml:space="preserve">FIRMA                                                                             </t>
  </si>
  <si>
    <t>TOTAL GENERAL</t>
  </si>
  <si>
    <t>TOTAL CONSULTAS POR CONVENIO</t>
  </si>
  <si>
    <t>TOTAL DE PRESTACIONES ODONTOLOGICAS</t>
  </si>
  <si>
    <t>Planificacion Familiar</t>
  </si>
  <si>
    <t xml:space="preserve">   Etinil Estradio + Levonolgestrel</t>
  </si>
  <si>
    <t xml:space="preserve">   Linestrenol </t>
  </si>
  <si>
    <t xml:space="preserve">   Inyectable Valerato + Enantato</t>
  </si>
  <si>
    <t xml:space="preserve">   Dispositivo Intrauterino</t>
  </si>
  <si>
    <t xml:space="preserve">   Preservativo</t>
  </si>
  <si>
    <t xml:space="preserve">   Otros</t>
  </si>
  <si>
    <t>TOTAL GENERAL DE CONSULTAS MEDICAS</t>
  </si>
  <si>
    <t>TOTAL GENERAL DE CONSULTAS ODONTOLOGICAS</t>
  </si>
  <si>
    <t xml:space="preserve">CONSULTAS </t>
  </si>
  <si>
    <t>INTERVENCION</t>
  </si>
  <si>
    <t>INTERVENCION POR CONVENIO</t>
  </si>
  <si>
    <t>TOTAL INTERVENCIONES POR PROFESIONAL</t>
  </si>
  <si>
    <t>CONSULTAS EN URGENCIAS</t>
  </si>
  <si>
    <t>TOTAL GENERAL DE CONSULTAS EN URGENCIAS</t>
  </si>
  <si>
    <t>TABLA SP  5 - PRODUCTIVIDAD CONSULTAS Y OTROS</t>
  </si>
  <si>
    <t>RADIOLOGIA</t>
  </si>
  <si>
    <t>COLPOSCOPIA Y PAP</t>
  </si>
  <si>
    <t>ECOGRAFIA</t>
  </si>
  <si>
    <t>ELECTROCARDIOGRAMA</t>
  </si>
  <si>
    <t>ESPIROMETRIA</t>
  </si>
  <si>
    <t>FISIOTERAPIA</t>
  </si>
  <si>
    <t>CITOLOGIA</t>
  </si>
  <si>
    <t xml:space="preserve">CIRUGIAS </t>
  </si>
  <si>
    <t>TOTAL CONSULTAS REALIZADAS</t>
  </si>
  <si>
    <t>TOTAL CONSULTAS REALIZADAS POR CONVENIO</t>
  </si>
  <si>
    <t>TABLA SP  8 - CONSULTAS REALIZADAS  EN URGENCIAS</t>
  </si>
  <si>
    <t>CONSULTAS REALIZADAS EN URGENCIAS</t>
  </si>
  <si>
    <t>TOTAL GENERAL CONSULTAS EN URGENCIAS</t>
  </si>
  <si>
    <t>PSICOPEDAGOGIA</t>
  </si>
  <si>
    <t>PRESTACIONES A ASEGURADOS</t>
  </si>
  <si>
    <t>PRESTACIONES POR CONVENIO</t>
  </si>
  <si>
    <t>OCUPACION LABORAL</t>
  </si>
  <si>
    <t>Endoscopia</t>
  </si>
  <si>
    <t xml:space="preserve"> Cantidad de Imágenes</t>
  </si>
  <si>
    <t>Quimioterapia</t>
  </si>
  <si>
    <t xml:space="preserve">   Cantidad de pacientes</t>
  </si>
  <si>
    <t xml:space="preserve">   Total de sesiones </t>
  </si>
  <si>
    <t xml:space="preserve"> Cantidad de Pacientes atendidos en Urgencia</t>
  </si>
  <si>
    <t>INSUMOS</t>
  </si>
  <si>
    <t>TABLA SP  6 - INSUMOS Y MEDICAMENTOS - CONSUMO</t>
  </si>
  <si>
    <t xml:space="preserve">TOTAL MEDICAMENTOS </t>
  </si>
  <si>
    <t>TOTAL INSUMOS</t>
  </si>
  <si>
    <t>ABANDONO</t>
  </si>
  <si>
    <t xml:space="preserve"> 1.2.4.Número de embarazadas &lt; de 18 años con atención prenatal</t>
  </si>
  <si>
    <t xml:space="preserve"> 1.2.5.Número de cesáreas realizadas en el Servicio</t>
  </si>
  <si>
    <t xml:space="preserve"> 1.2.6.Número  de partos realizados</t>
  </si>
  <si>
    <t xml:space="preserve"> 1.2.7.Número de Recién nacidos con peso &lt; a 2500 gr</t>
  </si>
  <si>
    <t xml:space="preserve"> 1.2.8.Número  de Nacimientos en el Servicio de Salud</t>
  </si>
  <si>
    <t xml:space="preserve"> 1.2.9.Número de embarazadas con control odontológico</t>
  </si>
  <si>
    <t>3.2.1.Número de Niños</t>
  </si>
  <si>
    <t>3.2. Número de niños y niñas víctimas de violencia y abuso sexual</t>
  </si>
  <si>
    <t>MEDICINA FAMILIAR</t>
  </si>
  <si>
    <t>ALERGIA</t>
  </si>
  <si>
    <t>OTRAS PRESTACIONES Y PROCEDIMIENTOS</t>
  </si>
  <si>
    <t>TABLA SP  4 - METODOS AUXILIARES DE DIAGNOSTICO - OTRAS PRESTACIONES Y PROCEDIMIENTOS</t>
  </si>
  <si>
    <t>Electroencefalograma</t>
  </si>
  <si>
    <t>SUBTOTAL INSUMOS</t>
  </si>
  <si>
    <t>SUBTOTAL MEDICAMENTOS</t>
  </si>
  <si>
    <t>3.2.2.Número de Niñas</t>
  </si>
  <si>
    <t>REPOSICION DE RECETAS - CRONICOS</t>
  </si>
  <si>
    <t>TOTAL GENERAL REPOSICION DE RECETAS</t>
  </si>
  <si>
    <t>CONSULTAS DE REPOSICION DE RECETAS - CRONICOS</t>
  </si>
  <si>
    <t>DEPARTAMENTO: ITAPUA</t>
  </si>
  <si>
    <t>CODIGO: 63</t>
  </si>
  <si>
    <t>ESTABLECIMIENTO: P.S. CONVENIO  NATALIO 10</t>
  </si>
  <si>
    <t>CODIGO:63</t>
  </si>
  <si>
    <t>CODIGO63</t>
  </si>
  <si>
    <t>DEPARTAMENTO:ITAPUA</t>
  </si>
  <si>
    <t>ESTABLECIMIENTO: P.S. CONVENIO - NATALIO 10</t>
  </si>
  <si>
    <t>CODIGO:   63</t>
  </si>
  <si>
    <t>PLANILLA ESTADÍSTICA DEL MES DE:      FEBRERO                      /2017</t>
  </si>
  <si>
    <t xml:space="preserve"> </t>
  </si>
  <si>
    <t xml:space="preserve">  </t>
  </si>
  <si>
    <t>OPV / IPV</t>
  </si>
  <si>
    <t>PCV 13</t>
  </si>
  <si>
    <t xml:space="preserve">PLANILLA DE CALCULO DEL MES DE:              </t>
  </si>
  <si>
    <t xml:space="preserve">PLANILLA ESTADÍSTICA DEL MES DE:              </t>
  </si>
  <si>
    <t xml:space="preserve">PLANILLA ESTADÍSTICA DEL MES DE:                    -  </t>
  </si>
  <si>
    <t>PLANILLA ESTADÍSTICA DEL MES DE:                     /</t>
  </si>
  <si>
    <t xml:space="preserve">PLANILLA ESTADÍSTICA DEL MES DE:                   </t>
  </si>
  <si>
    <t>PLANILLA ESTADÍSTICA  MES: ENERO-2025</t>
  </si>
  <si>
    <t>PLANILLA ESTADÍSTICA DEL MES DE  ENERO 2025</t>
  </si>
  <si>
    <t>PLANILLA ESTADÍSTICA DEL MES DE: ENERO- 2025</t>
  </si>
  <si>
    <t>PLANILLA ESTADÍSTICA DEL MES DE:  ENERO-2025</t>
  </si>
  <si>
    <t>PLANILLA ESTADÍSTICA DEL MES: ENERO 2025</t>
  </si>
  <si>
    <t>PLANILLA ESTADÍSTICA DEL MES DE:  ENERO- 2025</t>
  </si>
  <si>
    <t>ENFERMERÍA 2025</t>
  </si>
  <si>
    <t>PLANILLA ESTADISTICA DIARIA: MES DE : ENERO-2025</t>
  </si>
  <si>
    <t xml:space="preserve">ESTABLECIMIENTO: </t>
  </si>
  <si>
    <t xml:space="preserve">DEPARTAMENTO: </t>
  </si>
  <si>
    <t>DEPARTAMENTO:</t>
  </si>
  <si>
    <t xml:space="preserve">PLANILLA ESTADÍSTICA DEL MES DE:  </t>
  </si>
  <si>
    <t xml:space="preserve">PLANILLA ESTADÍSTICA DEL MES DE: </t>
  </si>
  <si>
    <t>ESTABLECIMIENTO:</t>
  </si>
  <si>
    <t>ESTABLECIMIENTO: P</t>
  </si>
  <si>
    <t>ESTABLECIMIENTO:P.S.</t>
  </si>
  <si>
    <t>ESTABLECIMIENTO: P.S.</t>
  </si>
  <si>
    <t>ESTABLECIMIENTO: P.S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</si>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</sst>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64" formatCode="_(&quot;Gs&quot;\ * #,##0.00_);_(&quot;Gs&quot;\ * \(#,##0.00\);_(&quot;Gs&quot;\ * &quot;-&quot;??_);_(@_)"/>
    <numFmt numFmtId="165" formatCode="_(* #,##0.00_);_(* \(#,##0.00\);_(* &quot;-&quot;??_);_(@_)"/>
    <numFmt numFmtId="166" formatCode="_ &quot;Gs&quot;\ * #,##0.00_ ;_ &quot;Gs&quot;\ * \-#,##0.00_ ;_ &quot;Gs&quot;\ * &quot;-&quot;??_ ;_ @_ "/>
    <numFmt numFmtId="167" formatCode="_ * #,##0_ ;_ * \-#,##0_ ;_ * &quot;-&quot;??_ ;_ @_ "/>
    <numFmt numFmtId="168" formatCode="dd\-mm\-yy;@"/>
    <numFmt numFmtId="169" formatCode="0;[Red]0"/>
    <numFmt numFmtId="170" formatCode="_(* #,##0_);_(* \(#,##0\);_(* &quot;-&quot;??_);_(@_)"/>
    <numFmt numFmtId="171" formatCode="#,##0_ ;[Red]\-#,##0\ 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sz val="12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2"/>
      <color rgb="FF0070C0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sz val="11"/>
      <color theme="1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b/>
      <sz val="14"/>
      <color rgb="FF0070C0"/>
      <name val="Arial"/>
      <family val="2"/>
    </font>
    <font>
      <b/>
      <sz val="18"/>
      <color rgb="FF0070C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indexed="8"/>
      <name val="Arial"/>
      <family val="2"/>
    </font>
    <font>
      <sz val="9"/>
      <color indexed="8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6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20"/>
      <color rgb="FF0070C0"/>
      <name val="Arial"/>
      <family val="2"/>
    </font>
    <font>
      <b/>
      <u/>
      <sz val="12"/>
      <color theme="1"/>
      <name val="Arial"/>
      <family val="2"/>
    </font>
    <font>
      <b/>
      <sz val="10"/>
      <color rgb="FF0070C0"/>
      <name val="Arial"/>
      <family val="2"/>
    </font>
    <font>
      <sz val="11"/>
      <color theme="1"/>
      <name val="Baskerville Old Face"/>
      <family val="1"/>
    </font>
    <font>
      <b/>
      <u/>
      <sz val="1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522">
    <xf numFmtId="0" fontId="0" fillId="0" borderId="0" xfId="0"/>
    <xf numFmtId="0" fontId="0" fillId="0" borderId="1" xfId="0" applyBorder="1"/>
    <xf numFmtId="0" fontId="4" fillId="0" borderId="0" xfId="0" applyFont="1"/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vertical="center"/>
    </xf>
    <xf numFmtId="0" fontId="16" fillId="0" borderId="0" xfId="0" applyFont="1"/>
    <xf numFmtId="0" fontId="0" fillId="2" borderId="0" xfId="0" applyFill="1"/>
    <xf numFmtId="0" fontId="18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7" xfId="0" applyFont="1" applyFill="1" applyBorder="1" applyAlignment="1">
      <alignment vertical="center"/>
    </xf>
    <xf numFmtId="0" fontId="8" fillId="5" borderId="25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4" borderId="29" xfId="0" applyFont="1" applyFill="1" applyBorder="1" applyAlignment="1">
      <alignment horizontal="center" vertical="center"/>
    </xf>
    <xf numFmtId="171" fontId="2" fillId="3" borderId="24" xfId="0" applyNumberFormat="1" applyFont="1" applyFill="1" applyBorder="1" applyAlignment="1">
      <alignment horizontal="center" vertical="center"/>
    </xf>
    <xf numFmtId="171" fontId="2" fillId="4" borderId="29" xfId="0" applyNumberFormat="1" applyFont="1" applyFill="1" applyBorder="1" applyAlignment="1">
      <alignment horizontal="center" vertical="center"/>
    </xf>
    <xf numFmtId="0" fontId="21" fillId="0" borderId="0" xfId="0" applyFont="1"/>
    <xf numFmtId="0" fontId="23" fillId="0" borderId="0" xfId="0" applyFont="1" applyAlignment="1">
      <alignment vertical="center"/>
    </xf>
    <xf numFmtId="0" fontId="15" fillId="0" borderId="0" xfId="0" applyFont="1"/>
    <xf numFmtId="0" fontId="9" fillId="0" borderId="0" xfId="0" applyFont="1"/>
    <xf numFmtId="0" fontId="20" fillId="0" borderId="12" xfId="0" applyFont="1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0" fillId="3" borderId="8" xfId="0" applyFont="1" applyFill="1" applyBorder="1" applyAlignment="1">
      <alignment horizontal="left"/>
    </xf>
    <xf numFmtId="171" fontId="0" fillId="3" borderId="14" xfId="0" applyNumberFormat="1" applyFill="1" applyBorder="1" applyAlignment="1">
      <alignment vertical="center"/>
    </xf>
    <xf numFmtId="171" fontId="0" fillId="3" borderId="15" xfId="0" applyNumberForma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top"/>
    </xf>
    <xf numFmtId="171" fontId="0" fillId="0" borderId="8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3" borderId="8" xfId="0" applyFont="1" applyFill="1" applyBorder="1"/>
    <xf numFmtId="0" fontId="20" fillId="3" borderId="8" xfId="0" applyFont="1" applyFill="1" applyBorder="1" applyAlignment="1">
      <alignment vertical="top"/>
    </xf>
    <xf numFmtId="0" fontId="0" fillId="3" borderId="15" xfId="0" applyFill="1" applyBorder="1" applyAlignment="1">
      <alignment horizontal="center" vertical="center"/>
    </xf>
    <xf numFmtId="0" fontId="24" fillId="0" borderId="33" xfId="0" applyFont="1" applyBorder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20" fillId="3" borderId="8" xfId="0" applyFont="1" applyFill="1" applyBorder="1" applyAlignment="1">
      <alignment horizontal="left" vertical="top"/>
    </xf>
    <xf numFmtId="0" fontId="24" fillId="0" borderId="8" xfId="0" applyFont="1" applyBorder="1"/>
    <xf numFmtId="0" fontId="20" fillId="3" borderId="22" xfId="0" applyFont="1" applyFill="1" applyBorder="1" applyAlignment="1">
      <alignment horizontal="left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left"/>
    </xf>
    <xf numFmtId="0" fontId="20" fillId="4" borderId="8" xfId="0" applyFont="1" applyFill="1" applyBorder="1"/>
    <xf numFmtId="0" fontId="20" fillId="4" borderId="8" xfId="0" applyFont="1" applyFill="1" applyBorder="1" applyAlignment="1">
      <alignment vertical="top"/>
    </xf>
    <xf numFmtId="0" fontId="20" fillId="4" borderId="8" xfId="0" applyFont="1" applyFill="1" applyBorder="1" applyAlignment="1">
      <alignment horizontal="left" vertical="top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0" fillId="3" borderId="22" xfId="0" applyFont="1" applyFill="1" applyBorder="1" applyAlignment="1">
      <alignment vertical="center"/>
    </xf>
    <xf numFmtId="0" fontId="0" fillId="6" borderId="0" xfId="0" applyFill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20" fillId="6" borderId="27" xfId="0" applyFont="1" applyFill="1" applyBorder="1" applyAlignment="1">
      <alignment horizontal="center"/>
    </xf>
    <xf numFmtId="0" fontId="0" fillId="6" borderId="34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20" fillId="0" borderId="19" xfId="0" applyFont="1" applyBorder="1"/>
    <xf numFmtId="0" fontId="0" fillId="4" borderId="8" xfId="0" applyFill="1" applyBorder="1" applyAlignment="1">
      <alignment horizontal="center" vertical="center"/>
    </xf>
    <xf numFmtId="0" fontId="20" fillId="4" borderId="17" xfId="0" applyFont="1" applyFill="1" applyBorder="1" applyAlignment="1">
      <alignment horizontal="left"/>
    </xf>
    <xf numFmtId="0" fontId="0" fillId="4" borderId="1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20" fillId="4" borderId="19" xfId="0" applyFont="1" applyFill="1" applyBorder="1" applyAlignment="1">
      <alignment horizontal="left" vertical="center" wrapText="1"/>
    </xf>
    <xf numFmtId="167" fontId="24" fillId="0" borderId="8" xfId="1" applyNumberFormat="1" applyFont="1" applyFill="1" applyBorder="1" applyAlignment="1">
      <alignment horizontal="left"/>
    </xf>
    <xf numFmtId="0" fontId="20" fillId="4" borderId="8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3" fontId="24" fillId="0" borderId="8" xfId="0" applyNumberFormat="1" applyFont="1" applyBorder="1"/>
    <xf numFmtId="3" fontId="20" fillId="4" borderId="8" xfId="0" applyNumberFormat="1" applyFont="1" applyFill="1" applyBorder="1"/>
    <xf numFmtId="167" fontId="20" fillId="4" borderId="8" xfId="1" applyNumberFormat="1" applyFont="1" applyFill="1" applyBorder="1" applyAlignment="1">
      <alignment horizontal="left"/>
    </xf>
    <xf numFmtId="0" fontId="20" fillId="4" borderId="8" xfId="0" applyFont="1" applyFill="1" applyBorder="1" applyAlignment="1">
      <alignment horizontal="left" vertical="center"/>
    </xf>
    <xf numFmtId="167" fontId="24" fillId="0" borderId="17" xfId="1" applyNumberFormat="1" applyFont="1" applyFill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1" fontId="0" fillId="0" borderId="29" xfId="0" applyNumberFormat="1" applyBorder="1" applyAlignment="1">
      <alignment horizontal="center" vertical="center"/>
    </xf>
    <xf numFmtId="167" fontId="20" fillId="6" borderId="18" xfId="1" applyNumberFormat="1" applyFont="1" applyFill="1" applyBorder="1" applyAlignment="1">
      <alignment horizontal="center" vertical="center"/>
    </xf>
    <xf numFmtId="167" fontId="20" fillId="6" borderId="35" xfId="1" applyNumberFormat="1" applyFont="1" applyFill="1" applyBorder="1" applyAlignment="1">
      <alignment horizontal="center" vertical="center"/>
    </xf>
    <xf numFmtId="167" fontId="20" fillId="6" borderId="28" xfId="1" applyNumberFormat="1" applyFont="1" applyFill="1" applyBorder="1" applyAlignment="1">
      <alignment horizontal="center" vertical="center"/>
    </xf>
    <xf numFmtId="167" fontId="20" fillId="6" borderId="6" xfId="1" applyNumberFormat="1" applyFont="1" applyFill="1" applyBorder="1" applyAlignment="1">
      <alignment horizontal="center" vertical="center"/>
    </xf>
    <xf numFmtId="167" fontId="20" fillId="6" borderId="7" xfId="1" applyNumberFormat="1" applyFont="1" applyFill="1" applyBorder="1" applyAlignment="1">
      <alignment horizontal="center" vertical="center"/>
    </xf>
    <xf numFmtId="167" fontId="20" fillId="6" borderId="30" xfId="1" applyNumberFormat="1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left" vertical="center"/>
    </xf>
    <xf numFmtId="0" fontId="24" fillId="0" borderId="8" xfId="0" applyFont="1" applyBorder="1" applyAlignment="1">
      <alignment horizontal="left"/>
    </xf>
    <xf numFmtId="0" fontId="20" fillId="4" borderId="21" xfId="0" applyFont="1" applyFill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1" fontId="0" fillId="0" borderId="24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6" borderId="26" xfId="0" applyFont="1" applyFill="1" applyBorder="1" applyAlignment="1">
      <alignment vertical="center"/>
    </xf>
    <xf numFmtId="0" fontId="19" fillId="0" borderId="0" xfId="0" applyFont="1"/>
    <xf numFmtId="0" fontId="14" fillId="0" borderId="0" xfId="0" applyFont="1"/>
    <xf numFmtId="0" fontId="25" fillId="5" borderId="9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71" fontId="22" fillId="0" borderId="15" xfId="0" applyNumberFormat="1" applyFont="1" applyBorder="1" applyAlignment="1">
      <alignment horizontal="center" vertical="center"/>
    </xf>
    <xf numFmtId="171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0" fontId="22" fillId="6" borderId="35" xfId="0" applyFont="1" applyFill="1" applyBorder="1" applyAlignment="1">
      <alignment vertical="center"/>
    </xf>
    <xf numFmtId="171" fontId="22" fillId="6" borderId="26" xfId="0" applyNumberFormat="1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7" fillId="0" borderId="0" xfId="0" applyFont="1"/>
    <xf numFmtId="0" fontId="9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9" fillId="3" borderId="1" xfId="0" applyFont="1" applyFill="1" applyBorder="1"/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top"/>
    </xf>
    <xf numFmtId="0" fontId="10" fillId="0" borderId="1" xfId="0" applyFont="1" applyBorder="1"/>
    <xf numFmtId="0" fontId="26" fillId="0" borderId="0" xfId="0" applyFont="1" applyAlignment="1">
      <alignment horizontal="center" vertical="center"/>
    </xf>
    <xf numFmtId="0" fontId="13" fillId="0" borderId="1" xfId="0" applyFont="1" applyBorder="1"/>
    <xf numFmtId="0" fontId="8" fillId="9" borderId="46" xfId="0" applyFont="1" applyFill="1" applyBorder="1" applyAlignment="1">
      <alignment vertical="center"/>
    </xf>
    <xf numFmtId="0" fontId="8" fillId="9" borderId="39" xfId="0" applyFont="1" applyFill="1" applyBorder="1" applyAlignment="1">
      <alignment vertical="center"/>
    </xf>
    <xf numFmtId="0" fontId="8" fillId="9" borderId="41" xfId="0" applyFont="1" applyFill="1" applyBorder="1" applyAlignment="1">
      <alignment vertical="center"/>
    </xf>
    <xf numFmtId="0" fontId="8" fillId="9" borderId="48" xfId="0" applyFont="1" applyFill="1" applyBorder="1" applyAlignment="1">
      <alignment vertical="center"/>
    </xf>
    <xf numFmtId="0" fontId="31" fillId="3" borderId="47" xfId="0" applyFont="1" applyFill="1" applyBorder="1"/>
    <xf numFmtId="0" fontId="32" fillId="3" borderId="16" xfId="0" applyFont="1" applyFill="1" applyBorder="1"/>
    <xf numFmtId="0" fontId="32" fillId="3" borderId="37" xfId="0" applyFont="1" applyFill="1" applyBorder="1"/>
    <xf numFmtId="0" fontId="32" fillId="3" borderId="49" xfId="0" applyFont="1" applyFill="1" applyBorder="1"/>
    <xf numFmtId="0" fontId="33" fillId="3" borderId="50" xfId="0" applyFont="1" applyFill="1" applyBorder="1" applyAlignment="1">
      <alignment vertical="center"/>
    </xf>
    <xf numFmtId="0" fontId="33" fillId="3" borderId="37" xfId="0" applyFont="1" applyFill="1" applyBorder="1" applyAlignment="1">
      <alignment vertical="center"/>
    </xf>
    <xf numFmtId="0" fontId="33" fillId="3" borderId="49" xfId="0" applyFont="1" applyFill="1" applyBorder="1" applyAlignment="1">
      <alignment vertical="center"/>
    </xf>
    <xf numFmtId="0" fontId="32" fillId="0" borderId="1" xfId="0" applyFont="1" applyBorder="1" applyAlignment="1">
      <alignment horizontal="left" wrapText="1"/>
    </xf>
    <xf numFmtId="171" fontId="33" fillId="0" borderId="1" xfId="0" applyNumberFormat="1" applyFont="1" applyBorder="1" applyAlignment="1">
      <alignment vertical="center"/>
    </xf>
    <xf numFmtId="171" fontId="33" fillId="0" borderId="15" xfId="0" applyNumberFormat="1" applyFont="1" applyBorder="1" applyAlignment="1">
      <alignment horizontal="center" vertical="center"/>
    </xf>
    <xf numFmtId="0" fontId="32" fillId="0" borderId="1" xfId="0" applyFont="1" applyBorder="1"/>
    <xf numFmtId="171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left"/>
    </xf>
    <xf numFmtId="0" fontId="32" fillId="0" borderId="2" xfId="0" applyFont="1" applyBorder="1"/>
    <xf numFmtId="0" fontId="33" fillId="0" borderId="2" xfId="0" applyFont="1" applyBorder="1" applyAlignment="1">
      <alignment horizontal="center" vertical="center"/>
    </xf>
    <xf numFmtId="171" fontId="33" fillId="0" borderId="29" xfId="0" applyNumberFormat="1" applyFont="1" applyBorder="1" applyAlignment="1">
      <alignment horizontal="center" vertical="center"/>
    </xf>
    <xf numFmtId="0" fontId="31" fillId="3" borderId="51" xfId="0" applyFont="1" applyFill="1" applyBorder="1"/>
    <xf numFmtId="0" fontId="31" fillId="3" borderId="52" xfId="0" applyFont="1" applyFill="1" applyBorder="1"/>
    <xf numFmtId="0" fontId="31" fillId="3" borderId="4" xfId="0" applyFont="1" applyFill="1" applyBorder="1"/>
    <xf numFmtId="0" fontId="32" fillId="0" borderId="3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2" fillId="0" borderId="2" xfId="0" applyFont="1" applyBorder="1" applyAlignment="1">
      <alignment wrapText="1"/>
    </xf>
    <xf numFmtId="0" fontId="33" fillId="0" borderId="48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1" fillId="3" borderId="51" xfId="0" applyFont="1" applyFill="1" applyBorder="1" applyAlignment="1">
      <alignment wrapText="1"/>
    </xf>
    <xf numFmtId="0" fontId="31" fillId="3" borderId="52" xfId="0" applyFont="1" applyFill="1" applyBorder="1" applyAlignment="1">
      <alignment wrapText="1"/>
    </xf>
    <xf numFmtId="0" fontId="31" fillId="3" borderId="4" xfId="0" applyFont="1" applyFill="1" applyBorder="1" applyAlignment="1">
      <alignment wrapText="1"/>
    </xf>
    <xf numFmtId="0" fontId="32" fillId="0" borderId="3" xfId="0" applyFont="1" applyBorder="1"/>
    <xf numFmtId="0" fontId="31" fillId="3" borderId="53" xfId="0" applyFont="1" applyFill="1" applyBorder="1" applyAlignment="1">
      <alignment wrapText="1"/>
    </xf>
    <xf numFmtId="0" fontId="31" fillId="3" borderId="46" xfId="0" applyFont="1" applyFill="1" applyBorder="1"/>
    <xf numFmtId="0" fontId="31" fillId="3" borderId="39" xfId="0" applyFont="1" applyFill="1" applyBorder="1"/>
    <xf numFmtId="0" fontId="32" fillId="0" borderId="42" xfId="0" applyFont="1" applyBorder="1" applyAlignment="1">
      <alignment horizontal="left" wrapText="1"/>
    </xf>
    <xf numFmtId="0" fontId="32" fillId="0" borderId="44" xfId="0" applyFont="1" applyBorder="1"/>
    <xf numFmtId="0" fontId="32" fillId="0" borderId="51" xfId="0" applyFont="1" applyBorder="1" applyAlignment="1">
      <alignment wrapText="1"/>
    </xf>
    <xf numFmtId="0" fontId="32" fillId="0" borderId="1" xfId="0" applyFont="1" applyBorder="1" applyAlignment="1">
      <alignment horizontal="center"/>
    </xf>
    <xf numFmtId="164" fontId="31" fillId="3" borderId="51" xfId="6" applyFont="1" applyFill="1" applyBorder="1" applyAlignment="1"/>
    <xf numFmtId="164" fontId="31" fillId="3" borderId="46" xfId="6" applyFont="1" applyFill="1" applyBorder="1" applyAlignment="1"/>
    <xf numFmtId="164" fontId="31" fillId="3" borderId="39" xfId="6" applyFont="1" applyFill="1" applyBorder="1" applyAlignment="1"/>
    <xf numFmtId="0" fontId="32" fillId="0" borderId="47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2" fillId="0" borderId="51" xfId="0" applyFont="1" applyBorder="1"/>
    <xf numFmtId="171" fontId="32" fillId="0" borderId="1" xfId="0" applyNumberFormat="1" applyFont="1" applyBorder="1" applyAlignment="1">
      <alignment horizontal="center" vertical="center"/>
    </xf>
    <xf numFmtId="0" fontId="31" fillId="0" borderId="1" xfId="0" applyFont="1" applyBorder="1"/>
    <xf numFmtId="0" fontId="32" fillId="0" borderId="47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32" fillId="0" borderId="51" xfId="0" applyFont="1" applyBorder="1" applyAlignment="1">
      <alignment vertical="center" wrapText="1"/>
    </xf>
    <xf numFmtId="164" fontId="32" fillId="0" borderId="1" xfId="6" applyFont="1" applyFill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3" xfId="0" applyFont="1" applyBorder="1" applyAlignment="1">
      <alignment vertical="center" wrapText="1"/>
    </xf>
    <xf numFmtId="0" fontId="35" fillId="10" borderId="44" xfId="0" applyFont="1" applyFill="1" applyBorder="1" applyAlignment="1">
      <alignment vertical="top"/>
    </xf>
    <xf numFmtId="0" fontId="35" fillId="0" borderId="44" xfId="0" applyFont="1" applyBorder="1" applyAlignment="1">
      <alignment horizontal="left" vertical="top"/>
    </xf>
    <xf numFmtId="0" fontId="35" fillId="10" borderId="44" xfId="0" applyFont="1" applyFill="1" applyBorder="1" applyAlignment="1">
      <alignment horizontal="left" vertical="top"/>
    </xf>
    <xf numFmtId="0" fontId="0" fillId="11" borderId="0" xfId="0" applyFill="1"/>
    <xf numFmtId="0" fontId="25" fillId="0" borderId="0" xfId="0" applyFont="1"/>
    <xf numFmtId="0" fontId="20" fillId="6" borderId="1" xfId="0" applyFont="1" applyFill="1" applyBorder="1" applyAlignment="1">
      <alignment horizontal="left" vertical="center" indent="1"/>
    </xf>
    <xf numFmtId="0" fontId="16" fillId="0" borderId="1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1" xfId="0" applyFont="1" applyBorder="1" applyAlignment="1">
      <alignment horizontal="left" wrapText="1"/>
    </xf>
    <xf numFmtId="16" fontId="16" fillId="0" borderId="1" xfId="0" applyNumberFormat="1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3" fontId="24" fillId="0" borderId="3" xfId="0" applyNumberFormat="1" applyFont="1" applyBorder="1"/>
    <xf numFmtId="3" fontId="24" fillId="0" borderId="1" xfId="0" applyNumberFormat="1" applyFont="1" applyBorder="1"/>
    <xf numFmtId="0" fontId="24" fillId="0" borderId="1" xfId="0" applyFont="1" applyBorder="1"/>
    <xf numFmtId="0" fontId="24" fillId="0" borderId="2" xfId="0" applyFont="1" applyBorder="1"/>
    <xf numFmtId="0" fontId="15" fillId="2" borderId="0" xfId="0" applyFont="1" applyFill="1"/>
    <xf numFmtId="0" fontId="0" fillId="6" borderId="1" xfId="0" applyFill="1" applyBorder="1"/>
    <xf numFmtId="171" fontId="22" fillId="6" borderId="1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1" fontId="11" fillId="0" borderId="1" xfId="0" applyNumberFormat="1" applyFont="1" applyBorder="1" applyAlignment="1">
      <alignment horizontal="center"/>
    </xf>
    <xf numFmtId="0" fontId="41" fillId="0" borderId="0" xfId="0" applyFont="1" applyAlignment="1">
      <alignment vertical="center"/>
    </xf>
    <xf numFmtId="0" fontId="29" fillId="0" borderId="0" xfId="0" applyFont="1"/>
    <xf numFmtId="0" fontId="28" fillId="0" borderId="0" xfId="0" applyFont="1"/>
    <xf numFmtId="0" fontId="9" fillId="0" borderId="0" xfId="0" applyFont="1" applyAlignment="1">
      <alignment horizontal="center" vertical="center"/>
    </xf>
    <xf numFmtId="0" fontId="11" fillId="0" borderId="1" xfId="0" applyFont="1" applyBorder="1"/>
    <xf numFmtId="0" fontId="2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0" fillId="3" borderId="1" xfId="0" applyFill="1" applyBorder="1"/>
    <xf numFmtId="0" fontId="11" fillId="0" borderId="1" xfId="2" applyFont="1" applyBorder="1" applyAlignment="1">
      <alignment horizontal="center"/>
    </xf>
    <xf numFmtId="0" fontId="16" fillId="0" borderId="0" xfId="0" applyFont="1" applyAlignment="1">
      <alignment wrapText="1"/>
    </xf>
    <xf numFmtId="0" fontId="25" fillId="0" borderId="1" xfId="0" applyFont="1" applyBorder="1"/>
    <xf numFmtId="0" fontId="36" fillId="0" borderId="1" xfId="0" applyFont="1" applyBorder="1"/>
    <xf numFmtId="0" fontId="36" fillId="0" borderId="1" xfId="0" applyFont="1" applyBorder="1" applyAlignment="1">
      <alignment wrapText="1"/>
    </xf>
    <xf numFmtId="0" fontId="36" fillId="0" borderId="0" xfId="0" applyFont="1" applyAlignment="1">
      <alignment vertical="center" wrapText="1"/>
    </xf>
    <xf numFmtId="0" fontId="44" fillId="0" borderId="0" xfId="0" applyFont="1"/>
    <xf numFmtId="0" fontId="36" fillId="0" borderId="0" xfId="0" applyFont="1" applyAlignment="1">
      <alignment wrapText="1"/>
    </xf>
    <xf numFmtId="0" fontId="36" fillId="0" borderId="0" xfId="0" applyFont="1"/>
    <xf numFmtId="0" fontId="44" fillId="0" borderId="0" xfId="0" applyFont="1" applyAlignment="1">
      <alignment wrapText="1"/>
    </xf>
    <xf numFmtId="0" fontId="12" fillId="12" borderId="0" xfId="0" applyFont="1" applyFill="1"/>
    <xf numFmtId="0" fontId="44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0" fillId="3" borderId="1" xfId="0" applyFont="1" applyFill="1" applyBorder="1" applyAlignment="1">
      <alignment horizontal="left"/>
    </xf>
    <xf numFmtId="0" fontId="37" fillId="3" borderId="1" xfId="0" applyFont="1" applyFill="1" applyBorder="1"/>
    <xf numFmtId="0" fontId="44" fillId="3" borderId="1" xfId="0" applyFont="1" applyFill="1" applyBorder="1"/>
    <xf numFmtId="0" fontId="44" fillId="3" borderId="1" xfId="0" applyFont="1" applyFill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2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3" fontId="3" fillId="0" borderId="1" xfId="0" applyNumberFormat="1" applyFont="1" applyBorder="1"/>
    <xf numFmtId="0" fontId="3" fillId="0" borderId="1" xfId="0" applyFont="1" applyBorder="1"/>
    <xf numFmtId="0" fontId="26" fillId="6" borderId="1" xfId="2" applyFont="1" applyFill="1" applyBorder="1" applyAlignment="1">
      <alignment horizontal="center" vertical="center" wrapText="1"/>
    </xf>
    <xf numFmtId="0" fontId="13" fillId="3" borderId="1" xfId="0" applyFont="1" applyFill="1" applyBorder="1"/>
    <xf numFmtId="0" fontId="8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2" fillId="3" borderId="1" xfId="0" applyFont="1" applyFill="1" applyBorder="1"/>
    <xf numFmtId="0" fontId="28" fillId="3" borderId="1" xfId="0" applyFont="1" applyFill="1" applyBorder="1"/>
    <xf numFmtId="0" fontId="38" fillId="0" borderId="0" xfId="0" applyFont="1"/>
    <xf numFmtId="0" fontId="16" fillId="0" borderId="0" xfId="0" applyFont="1" applyAlignment="1">
      <alignment vertical="center"/>
    </xf>
    <xf numFmtId="0" fontId="46" fillId="0" borderId="1" xfId="0" applyFont="1" applyBorder="1"/>
    <xf numFmtId="0" fontId="8" fillId="6" borderId="1" xfId="2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3" borderId="1" xfId="0" applyFont="1" applyFill="1" applyBorder="1" applyAlignment="1">
      <alignment vertical="center"/>
    </xf>
    <xf numFmtId="167" fontId="11" fillId="0" borderId="1" xfId="1" applyNumberFormat="1" applyFont="1" applyFill="1" applyBorder="1" applyAlignment="1">
      <alignment horizontal="left"/>
    </xf>
    <xf numFmtId="167" fontId="8" fillId="3" borderId="1" xfId="1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167" fontId="11" fillId="3" borderId="1" xfId="1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20" fillId="6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  <xf numFmtId="0" fontId="8" fillId="6" borderId="1" xfId="2" applyFont="1" applyFill="1" applyBorder="1" applyAlignment="1">
      <alignment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6" borderId="1" xfId="2" applyFont="1" applyFill="1" applyBorder="1" applyAlignment="1">
      <alignment vertical="center" wrapText="1"/>
    </xf>
    <xf numFmtId="0" fontId="20" fillId="6" borderId="1" xfId="2" applyFont="1" applyFill="1" applyBorder="1" applyAlignment="1">
      <alignment horizontal="center" vertical="center" wrapText="1"/>
    </xf>
    <xf numFmtId="0" fontId="14" fillId="0" borderId="1" xfId="0" applyFont="1" applyBorder="1"/>
    <xf numFmtId="3" fontId="11" fillId="0" borderId="1" xfId="1" applyNumberFormat="1" applyFont="1" applyFill="1" applyBorder="1" applyAlignment="1">
      <alignment horizontal="right" vertical="center" wrapText="1"/>
    </xf>
    <xf numFmtId="167" fontId="11" fillId="0" borderId="1" xfId="3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0" fontId="11" fillId="0" borderId="1" xfId="1" applyNumberFormat="1" applyFont="1" applyFill="1" applyBorder="1" applyAlignment="1">
      <alignment horizontal="left" wrapText="1"/>
    </xf>
    <xf numFmtId="3" fontId="14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168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3" fontId="11" fillId="0" borderId="0" xfId="1" applyNumberFormat="1" applyFont="1" applyFill="1" applyBorder="1" applyAlignment="1">
      <alignment horizontal="right" vertical="center" wrapText="1"/>
    </xf>
    <xf numFmtId="167" fontId="11" fillId="0" borderId="0" xfId="3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0" fontId="11" fillId="0" borderId="0" xfId="1" applyNumberFormat="1" applyFont="1" applyFill="1" applyBorder="1" applyAlignment="1">
      <alignment horizontal="left" wrapText="1"/>
    </xf>
    <xf numFmtId="3" fontId="14" fillId="0" borderId="0" xfId="0" applyNumberFormat="1" applyFont="1" applyAlignment="1">
      <alignment horizont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168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22" fillId="0" borderId="0" xfId="0" applyFont="1"/>
    <xf numFmtId="0" fontId="49" fillId="0" borderId="1" xfId="0" applyFont="1" applyBorder="1" applyAlignment="1">
      <alignment wrapText="1"/>
    </xf>
    <xf numFmtId="0" fontId="49" fillId="0" borderId="15" xfId="0" applyFont="1" applyBorder="1" applyAlignment="1">
      <alignment wrapText="1"/>
    </xf>
    <xf numFmtId="0" fontId="49" fillId="0" borderId="13" xfId="0" applyFont="1" applyBorder="1" applyAlignment="1">
      <alignment wrapText="1"/>
    </xf>
    <xf numFmtId="0" fontId="49" fillId="0" borderId="14" xfId="0" applyFont="1" applyBorder="1" applyAlignment="1">
      <alignment wrapText="1"/>
    </xf>
    <xf numFmtId="0" fontId="49" fillId="0" borderId="23" xfId="0" applyFont="1" applyBorder="1" applyAlignment="1">
      <alignment wrapText="1"/>
    </xf>
    <xf numFmtId="0" fontId="49" fillId="0" borderId="24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6" fillId="3" borderId="12" xfId="0" applyFont="1" applyFill="1" applyBorder="1" applyAlignment="1">
      <alignment horizontal="left" vertical="center" wrapText="1"/>
    </xf>
    <xf numFmtId="0" fontId="26" fillId="3" borderId="13" xfId="0" applyFont="1" applyFill="1" applyBorder="1" applyAlignment="1">
      <alignment horizontal="left" vertical="center" wrapText="1"/>
    </xf>
    <xf numFmtId="0" fontId="43" fillId="3" borderId="13" xfId="0" applyFont="1" applyFill="1" applyBorder="1" applyAlignment="1">
      <alignment horizontal="center" vertical="center" wrapText="1"/>
    </xf>
    <xf numFmtId="0" fontId="43" fillId="3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3" fillId="0" borderId="1" xfId="0" applyFont="1" applyBorder="1" applyAlignment="1">
      <alignment wrapText="1"/>
    </xf>
    <xf numFmtId="0" fontId="53" fillId="0" borderId="1" xfId="0" applyFont="1" applyBorder="1"/>
    <xf numFmtId="0" fontId="54" fillId="3" borderId="1" xfId="0" applyFont="1" applyFill="1" applyBorder="1"/>
    <xf numFmtId="0" fontId="54" fillId="3" borderId="1" xfId="0" applyFont="1" applyFill="1" applyBorder="1" applyAlignment="1">
      <alignment wrapText="1"/>
    </xf>
    <xf numFmtId="0" fontId="53" fillId="0" borderId="1" xfId="0" applyFont="1" applyBorder="1" applyAlignment="1">
      <alignment vertical="center" wrapText="1"/>
    </xf>
    <xf numFmtId="0" fontId="53" fillId="0" borderId="1" xfId="0" applyFont="1" applyBorder="1" applyAlignment="1">
      <alignment horizontal="left" vertical="center" wrapText="1"/>
    </xf>
    <xf numFmtId="0" fontId="20" fillId="7" borderId="1" xfId="2" applyFont="1" applyFill="1" applyBorder="1" applyAlignment="1">
      <alignment horizontal="center" vertical="center" wrapText="1"/>
    </xf>
    <xf numFmtId="0" fontId="20" fillId="7" borderId="1" xfId="2" applyFont="1" applyFill="1" applyBorder="1" applyAlignment="1">
      <alignment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/>
    </xf>
    <xf numFmtId="0" fontId="50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25" fillId="0" borderId="1" xfId="0" applyFont="1" applyBorder="1" applyAlignment="1">
      <alignment horizontal="center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/>
    </xf>
    <xf numFmtId="0" fontId="51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56" fillId="0" borderId="0" xfId="0" applyFont="1" applyAlignment="1">
      <alignment horizontal="left"/>
    </xf>
    <xf numFmtId="0" fontId="56" fillId="0" borderId="0" xfId="0" applyFont="1"/>
    <xf numFmtId="0" fontId="43" fillId="0" borderId="0" xfId="0" applyFont="1" applyAlignment="1">
      <alignment horizontal="left"/>
    </xf>
    <xf numFmtId="0" fontId="58" fillId="0" borderId="0" xfId="0" applyFont="1"/>
    <xf numFmtId="0" fontId="3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171" fontId="8" fillId="6" borderId="1" xfId="0" applyNumberFormat="1" applyFont="1" applyFill="1" applyBorder="1" applyAlignment="1">
      <alignment horizontal="center" vertical="center" wrapText="1"/>
    </xf>
    <xf numFmtId="171" fontId="20" fillId="6" borderId="1" xfId="0" applyNumberFormat="1" applyFont="1" applyFill="1" applyBorder="1" applyAlignment="1">
      <alignment horizontal="center" vertical="center" wrapText="1"/>
    </xf>
    <xf numFmtId="171" fontId="8" fillId="3" borderId="1" xfId="0" applyNumberFormat="1" applyFont="1" applyFill="1" applyBorder="1" applyAlignment="1">
      <alignment horizontal="center" vertical="center" wrapText="1"/>
    </xf>
    <xf numFmtId="171" fontId="8" fillId="3" borderId="1" xfId="0" applyNumberFormat="1" applyFont="1" applyFill="1" applyBorder="1" applyAlignment="1">
      <alignment horizontal="center"/>
    </xf>
    <xf numFmtId="171" fontId="19" fillId="3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170" fontId="25" fillId="0" borderId="1" xfId="1" applyNumberFormat="1" applyFont="1" applyFill="1" applyBorder="1" applyAlignment="1">
      <alignment horizontal="center"/>
    </xf>
    <xf numFmtId="170" fontId="4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9" fillId="0" borderId="17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49" fillId="0" borderId="2" xfId="0" applyFont="1" applyBorder="1" applyAlignment="1">
      <alignment wrapText="1"/>
    </xf>
    <xf numFmtId="0" fontId="49" fillId="0" borderId="29" xfId="0" applyFont="1" applyBorder="1" applyAlignment="1">
      <alignment wrapText="1"/>
    </xf>
    <xf numFmtId="0" fontId="19" fillId="0" borderId="56" xfId="0" applyFont="1" applyBorder="1" applyAlignment="1">
      <alignment horizontal="center" vertical="center" wrapText="1"/>
    </xf>
    <xf numFmtId="0" fontId="49" fillId="0" borderId="56" xfId="0" applyFont="1" applyBorder="1" applyAlignment="1">
      <alignment wrapText="1"/>
    </xf>
    <xf numFmtId="0" fontId="49" fillId="0" borderId="57" xfId="0" applyFont="1" applyBorder="1" applyAlignment="1">
      <alignment wrapText="1"/>
    </xf>
    <xf numFmtId="0" fontId="19" fillId="0" borderId="12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wrapText="1"/>
    </xf>
    <xf numFmtId="0" fontId="53" fillId="0" borderId="1" xfId="0" applyFont="1" applyBorder="1" applyAlignment="1">
      <alignment horizontal="left"/>
    </xf>
    <xf numFmtId="0" fontId="1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1" fontId="0" fillId="0" borderId="0" xfId="0" applyNumberFormat="1"/>
    <xf numFmtId="0" fontId="60" fillId="0" borderId="25" xfId="0" applyFont="1" applyBorder="1" applyAlignment="1">
      <alignment vertical="center" wrapText="1"/>
    </xf>
    <xf numFmtId="0" fontId="60" fillId="0" borderId="32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right"/>
    </xf>
    <xf numFmtId="0" fontId="0" fillId="13" borderId="9" xfId="0" applyFill="1" applyBorder="1" applyAlignment="1">
      <alignment vertical="center"/>
    </xf>
    <xf numFmtId="0" fontId="0" fillId="13" borderId="10" xfId="0" applyFill="1" applyBorder="1" applyAlignment="1">
      <alignment vertical="center"/>
    </xf>
    <xf numFmtId="0" fontId="0" fillId="13" borderId="1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171" fontId="2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71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51" xfId="0" applyFont="1" applyFill="1" applyBorder="1" applyAlignment="1">
      <alignment horizontal="center" vertical="top" wrapText="1"/>
    </xf>
    <xf numFmtId="0" fontId="17" fillId="3" borderId="52" xfId="0" applyFont="1" applyFill="1" applyBorder="1" applyAlignment="1">
      <alignment horizontal="center" vertical="top" wrapText="1"/>
    </xf>
    <xf numFmtId="0" fontId="17" fillId="3" borderId="4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38" fillId="0" borderId="0" xfId="0" applyFont="1" applyAlignment="1">
      <alignment horizontal="left"/>
    </xf>
    <xf numFmtId="0" fontId="9" fillId="2" borderId="7" xfId="0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20" fillId="6" borderId="51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38" fillId="6" borderId="2" xfId="0" applyFont="1" applyFill="1" applyBorder="1" applyAlignment="1">
      <alignment horizontal="center" vertical="center" wrapText="1"/>
    </xf>
    <xf numFmtId="0" fontId="38" fillId="6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47" fillId="2" borderId="18" xfId="0" applyFont="1" applyFill="1" applyBorder="1" applyAlignment="1">
      <alignment horizontal="center" vertical="center" wrapText="1"/>
    </xf>
    <xf numFmtId="0" fontId="47" fillId="2" borderId="35" xfId="0" applyFont="1" applyFill="1" applyBorder="1" applyAlignment="1">
      <alignment horizontal="center" vertical="center" wrapText="1"/>
    </xf>
    <xf numFmtId="0" fontId="47" fillId="2" borderId="28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0" fontId="47" fillId="2" borderId="20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7" fillId="2" borderId="7" xfId="0" applyFont="1" applyFill="1" applyBorder="1" applyAlignment="1">
      <alignment horizontal="center" vertical="center" wrapText="1"/>
    </xf>
    <xf numFmtId="0" fontId="47" fillId="2" borderId="30" xfId="0" applyFont="1" applyFill="1" applyBorder="1" applyAlignment="1">
      <alignment horizontal="center" vertical="center" wrapText="1"/>
    </xf>
    <xf numFmtId="0" fontId="20" fillId="6" borderId="2" xfId="2" applyFont="1" applyFill="1" applyBorder="1" applyAlignment="1">
      <alignment horizontal="center" vertical="center" wrapText="1"/>
    </xf>
    <xf numFmtId="0" fontId="20" fillId="6" borderId="37" xfId="2" applyFont="1" applyFill="1" applyBorder="1" applyAlignment="1">
      <alignment horizontal="center" vertical="center" wrapText="1"/>
    </xf>
    <xf numFmtId="0" fontId="20" fillId="6" borderId="40" xfId="2" applyFont="1" applyFill="1" applyBorder="1" applyAlignment="1">
      <alignment horizontal="center" vertical="center" wrapText="1"/>
    </xf>
    <xf numFmtId="168" fontId="20" fillId="6" borderId="2" xfId="2" applyNumberFormat="1" applyFont="1" applyFill="1" applyBorder="1" applyAlignment="1">
      <alignment horizontal="center" vertical="center" wrapText="1"/>
    </xf>
    <xf numFmtId="168" fontId="20" fillId="6" borderId="3" xfId="2" applyNumberFormat="1" applyFont="1" applyFill="1" applyBorder="1" applyAlignment="1">
      <alignment horizontal="center" vertical="center" wrapText="1"/>
    </xf>
    <xf numFmtId="168" fontId="20" fillId="6" borderId="37" xfId="2" applyNumberFormat="1" applyFont="1" applyFill="1" applyBorder="1" applyAlignment="1">
      <alignment horizontal="center" vertical="center" wrapText="1"/>
    </xf>
    <xf numFmtId="169" fontId="20" fillId="6" borderId="2" xfId="2" applyNumberFormat="1" applyFont="1" applyFill="1" applyBorder="1" applyAlignment="1">
      <alignment horizontal="center" vertical="center" wrapText="1"/>
    </xf>
    <xf numFmtId="169" fontId="20" fillId="6" borderId="37" xfId="2" applyNumberFormat="1" applyFont="1" applyFill="1" applyBorder="1" applyAlignment="1">
      <alignment horizontal="center" vertical="center" wrapText="1"/>
    </xf>
    <xf numFmtId="0" fontId="20" fillId="6" borderId="3" xfId="2" applyFont="1" applyFill="1" applyBorder="1" applyAlignment="1">
      <alignment horizontal="center" vertical="center" wrapText="1"/>
    </xf>
    <xf numFmtId="0" fontId="20" fillId="6" borderId="38" xfId="2" applyFont="1" applyFill="1" applyBorder="1" applyAlignment="1">
      <alignment horizontal="center" vertical="center" wrapText="1"/>
    </xf>
    <xf numFmtId="0" fontId="20" fillId="6" borderId="39" xfId="2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67" fontId="20" fillId="6" borderId="2" xfId="3" applyNumberFormat="1" applyFont="1" applyFill="1" applyBorder="1" applyAlignment="1">
      <alignment horizontal="center" vertical="center" wrapText="1"/>
    </xf>
    <xf numFmtId="167" fontId="20" fillId="6" borderId="37" xfId="3" applyNumberFormat="1" applyFont="1" applyFill="1" applyBorder="1" applyAlignment="1">
      <alignment horizontal="center" vertical="center" wrapText="1"/>
    </xf>
    <xf numFmtId="17" fontId="20" fillId="6" borderId="2" xfId="3" applyNumberFormat="1" applyFont="1" applyFill="1" applyBorder="1" applyAlignment="1">
      <alignment horizontal="center" vertical="center" wrapText="1"/>
    </xf>
    <xf numFmtId="17" fontId="20" fillId="6" borderId="37" xfId="3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19" fillId="0" borderId="5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8" borderId="35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17" fillId="6" borderId="54" xfId="0" applyFont="1" applyFill="1" applyBorder="1" applyAlignment="1">
      <alignment horizontal="center" vertical="center" wrapText="1"/>
    </xf>
    <xf numFmtId="0" fontId="17" fillId="6" borderId="43" xfId="0" applyFont="1" applyFill="1" applyBorder="1" applyAlignment="1">
      <alignment horizontal="center" vertical="center" wrapText="1"/>
    </xf>
    <xf numFmtId="0" fontId="17" fillId="6" borderId="4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46" xfId="0" applyFont="1" applyBorder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49" fillId="0" borderId="1" xfId="0" applyFont="1" applyBorder="1" applyAlignment="1">
      <alignment horizontal="left" vertical="center" wrapText="1"/>
    </xf>
    <xf numFmtId="0" fontId="41" fillId="0" borderId="41" xfId="0" applyFont="1" applyBorder="1" applyAlignment="1">
      <alignment horizontal="left" vertical="center"/>
    </xf>
    <xf numFmtId="0" fontId="43" fillId="3" borderId="1" xfId="0" applyFont="1" applyFill="1" applyBorder="1" applyAlignment="1">
      <alignment horizontal="left" vertical="center"/>
    </xf>
    <xf numFmtId="0" fontId="19" fillId="6" borderId="51" xfId="0" applyFont="1" applyFill="1" applyBorder="1" applyAlignment="1">
      <alignment horizontal="center" vertical="center" wrapText="1"/>
    </xf>
    <xf numFmtId="0" fontId="19" fillId="6" borderId="52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43" fillId="3" borderId="51" xfId="0" applyFont="1" applyFill="1" applyBorder="1" applyAlignment="1">
      <alignment horizontal="left" vertical="center"/>
    </xf>
    <xf numFmtId="0" fontId="43" fillId="3" borderId="52" xfId="0" applyFont="1" applyFill="1" applyBorder="1" applyAlignment="1">
      <alignment horizontal="left" vertical="center"/>
    </xf>
    <xf numFmtId="0" fontId="43" fillId="3" borderId="4" xfId="0" applyFont="1" applyFill="1" applyBorder="1" applyAlignment="1">
      <alignment horizontal="left" vertical="center"/>
    </xf>
    <xf numFmtId="0" fontId="38" fillId="0" borderId="38" xfId="0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8" fillId="3" borderId="40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20" fillId="6" borderId="26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167" fontId="20" fillId="6" borderId="18" xfId="1" applyNumberFormat="1" applyFont="1" applyFill="1" applyBorder="1" applyAlignment="1">
      <alignment horizontal="center" vertical="center" wrapText="1"/>
    </xf>
    <xf numFmtId="167" fontId="20" fillId="6" borderId="6" xfId="1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17" fillId="2" borderId="18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20" fillId="6" borderId="18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8" fillId="6" borderId="27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61" fillId="0" borderId="7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8" fillId="9" borderId="38" xfId="0" applyFont="1" applyFill="1" applyBorder="1" applyAlignment="1">
      <alignment horizontal="center" vertical="center"/>
    </xf>
    <xf numFmtId="0" fontId="8" fillId="9" borderId="47" xfId="0" applyFont="1" applyFill="1" applyBorder="1" applyAlignment="1">
      <alignment horizontal="center" vertical="center"/>
    </xf>
    <xf numFmtId="0" fontId="31" fillId="3" borderId="51" xfId="0" applyFont="1" applyFill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31" fillId="3" borderId="4" xfId="0" applyFont="1" applyFill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top"/>
    </xf>
    <xf numFmtId="0" fontId="34" fillId="3" borderId="52" xfId="0" applyFont="1" applyFill="1" applyBorder="1" applyAlignment="1">
      <alignment horizontal="left" vertical="top"/>
    </xf>
    <xf numFmtId="0" fontId="34" fillId="3" borderId="4" xfId="0" applyFont="1" applyFill="1" applyBorder="1" applyAlignment="1">
      <alignment horizontal="left" vertical="top"/>
    </xf>
    <xf numFmtId="0" fontId="15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171" fontId="22" fillId="12" borderId="1" xfId="0" applyNumberFormat="1" applyFont="1" applyFill="1" applyBorder="1" applyAlignment="1">
      <alignment horizontal="center" vertical="center"/>
    </xf>
  </cellXfs>
  <cellStyles count="7">
    <cellStyle name="Millares" xfId="1" builtinId="3"/>
    <cellStyle name="Millares 2" xfId="3"/>
    <cellStyle name="Moneda" xfId="6" builtinId="4"/>
    <cellStyle name="Moneda 2" xfId="4"/>
    <cellStyle name="Normal" xfId="0" builtinId="0"/>
    <cellStyle name="Normal 12" xfId="5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8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276224</xdr:colOff>
      <xdr:row>0</xdr:row>
      <xdr:rowOff>0</xdr:rowOff>
    </xdr:from>
    <xdr:to>
      <xdr:col>2</xdr:col>
      <xdr:colOff>1283869</xdr:colOff>
      <xdr:row>2</xdr:row>
      <xdr:rowOff>76690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62574" y="0"/>
          <a:ext cx="1007645" cy="571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56217</xdr:colOff>
      <xdr:row>0</xdr:row>
      <xdr:rowOff>37771</xdr:rowOff>
    </xdr:from>
    <xdr:to>
      <xdr:col>0</xdr:col>
      <xdr:colOff>904874</xdr:colOff>
      <xdr:row>2</xdr:row>
      <xdr:rowOff>48669</xdr:rowOff>
    </xdr:to>
    <xdr:pic>
      <xdr:nvPicPr>
        <xdr:cNvPr id="4" name="Picture 1" descr="HOJA barra_OFICIO_IPS 2015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56217" y="37771"/>
          <a:ext cx="848657" cy="3918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0</xdr:rowOff>
    </xdr:from>
    <xdr:to>
      <xdr:col>1</xdr:col>
      <xdr:colOff>1156934</xdr:colOff>
      <xdr:row>2</xdr:row>
      <xdr:rowOff>0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975959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80596</xdr:colOff>
      <xdr:row>0</xdr:row>
      <xdr:rowOff>28575</xdr:rowOff>
    </xdr:from>
    <xdr:to>
      <xdr:col>0</xdr:col>
      <xdr:colOff>904875</xdr:colOff>
      <xdr:row>2</xdr:row>
      <xdr:rowOff>9525</xdr:rowOff>
    </xdr:to>
    <xdr:pic>
      <xdr:nvPicPr>
        <xdr:cNvPr id="3" name="Picture 1" descr="HOJA barra_OFICIO_IPS 201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80596" y="28575"/>
          <a:ext cx="824279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0</xdr:rowOff>
    </xdr:from>
    <xdr:to>
      <xdr:col>1</xdr:col>
      <xdr:colOff>1343025</xdr:colOff>
      <xdr:row>2</xdr:row>
      <xdr:rowOff>28575</xdr:rowOff>
    </xdr:to>
    <xdr:pic>
      <xdr:nvPicPr>
        <xdr:cNvPr id="11" name="10 Imagen" descr="gobiernonacionalb (1).png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86300" y="0"/>
          <a:ext cx="9525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37167</xdr:colOff>
      <xdr:row>0</xdr:row>
      <xdr:rowOff>47297</xdr:rowOff>
    </xdr:from>
    <xdr:to>
      <xdr:col>0</xdr:col>
      <xdr:colOff>878272</xdr:colOff>
      <xdr:row>2</xdr:row>
      <xdr:rowOff>21431</xdr:rowOff>
    </xdr:to>
    <xdr:pic>
      <xdr:nvPicPr>
        <xdr:cNvPr id="12" name="Picture 1" descr="HOJA barra_OFICIO_IPS 2015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37167" y="47297"/>
          <a:ext cx="841105" cy="469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66675</xdr:rowOff>
    </xdr:from>
    <xdr:to>
      <xdr:col>1</xdr:col>
      <xdr:colOff>1575708</xdr:colOff>
      <xdr:row>2</xdr:row>
      <xdr:rowOff>46262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66675"/>
          <a:ext cx="1013733" cy="474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92318</xdr:colOff>
      <xdr:row>0</xdr:row>
      <xdr:rowOff>46004</xdr:rowOff>
    </xdr:from>
    <xdr:to>
      <xdr:col>0</xdr:col>
      <xdr:colOff>933450</xdr:colOff>
      <xdr:row>2</xdr:row>
      <xdr:rowOff>66676</xdr:rowOff>
    </xdr:to>
    <xdr:pic>
      <xdr:nvPicPr>
        <xdr:cNvPr id="1025" name="Picture 1" descr="HOJA barra_OFICIO_IPS 2015">
          <a:extLst>
            <a:ext uri="{FF2B5EF4-FFF2-40B4-BE49-F238E27FC236}">
              <a16:creationId xmlns=""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92318" y="46004"/>
          <a:ext cx="841132" cy="649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63427</xdr:rowOff>
    </xdr:from>
    <xdr:to>
      <xdr:col>4</xdr:col>
      <xdr:colOff>1631987</xdr:colOff>
      <xdr:row>2</xdr:row>
      <xdr:rowOff>44030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7650" y="63427"/>
          <a:ext cx="1231937" cy="533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103250</xdr:colOff>
      <xdr:row>0</xdr:row>
      <xdr:rowOff>66674</xdr:rowOff>
    </xdr:from>
    <xdr:to>
      <xdr:col>1</xdr:col>
      <xdr:colOff>333375</xdr:colOff>
      <xdr:row>2</xdr:row>
      <xdr:rowOff>95249</xdr:rowOff>
    </xdr:to>
    <xdr:pic>
      <xdr:nvPicPr>
        <xdr:cNvPr id="4" name="Picture 1" descr="HOJA barra_OFICIO_IPS 2015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103250" y="66674"/>
          <a:ext cx="10016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955415</xdr:colOff>
      <xdr:row>0</xdr:row>
      <xdr:rowOff>0</xdr:rowOff>
    </xdr:from>
    <xdr:to>
      <xdr:col>4</xdr:col>
      <xdr:colOff>0</xdr:colOff>
      <xdr:row>2</xdr:row>
      <xdr:rowOff>46118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1165" y="0"/>
          <a:ext cx="1025785" cy="5414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144147</xdr:colOff>
      <xdr:row>0</xdr:row>
      <xdr:rowOff>9525</xdr:rowOff>
    </xdr:from>
    <xdr:to>
      <xdr:col>1</xdr:col>
      <xdr:colOff>933450</xdr:colOff>
      <xdr:row>2</xdr:row>
      <xdr:rowOff>95250</xdr:rowOff>
    </xdr:to>
    <xdr:pic>
      <xdr:nvPicPr>
        <xdr:cNvPr id="3" name="Picture 1" descr="HOJA barra_OFICIO_IPS 2015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477522" y="9525"/>
          <a:ext cx="789303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217294</xdr:colOff>
      <xdr:row>0</xdr:row>
      <xdr:rowOff>19051</xdr:rowOff>
    </xdr:from>
    <xdr:to>
      <xdr:col>2</xdr:col>
      <xdr:colOff>1139273</xdr:colOff>
      <xdr:row>1</xdr:row>
      <xdr:rowOff>238125</xdr:rowOff>
    </xdr:to>
    <xdr:pic>
      <xdr:nvPicPr>
        <xdr:cNvPr id="4" name="3 Imagen" descr="gobiernonacionalb (1).png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84494" y="19051"/>
          <a:ext cx="921979" cy="4667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61546</xdr:colOff>
      <xdr:row>0</xdr:row>
      <xdr:rowOff>79144</xdr:rowOff>
    </xdr:from>
    <xdr:to>
      <xdr:col>1</xdr:col>
      <xdr:colOff>819150</xdr:colOff>
      <xdr:row>2</xdr:row>
      <xdr:rowOff>66675</xdr:rowOff>
    </xdr:to>
    <xdr:pic>
      <xdr:nvPicPr>
        <xdr:cNvPr id="5" name="Picture 1" descr="HOJA barra_OFICIO_IPS 2015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642571" y="79144"/>
          <a:ext cx="757604" cy="482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1038715</xdr:colOff>
      <xdr:row>0</xdr:row>
      <xdr:rowOff>19049</xdr:rowOff>
    </xdr:from>
    <xdr:to>
      <xdr:col>2</xdr:col>
      <xdr:colOff>951768</xdr:colOff>
      <xdr:row>2</xdr:row>
      <xdr:rowOff>21676</xdr:rowOff>
    </xdr:to>
    <xdr:pic>
      <xdr:nvPicPr>
        <xdr:cNvPr id="5" name="4 Imagen" descr="gobiernonacionalb (1).png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8240" y="19049"/>
          <a:ext cx="960803" cy="497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74282</xdr:colOff>
      <xdr:row>0</xdr:row>
      <xdr:rowOff>66347</xdr:rowOff>
    </xdr:from>
    <xdr:to>
      <xdr:col>0</xdr:col>
      <xdr:colOff>915387</xdr:colOff>
      <xdr:row>2</xdr:row>
      <xdr:rowOff>79484</xdr:rowOff>
    </xdr:to>
    <xdr:pic>
      <xdr:nvPicPr>
        <xdr:cNvPr id="6" name="Picture 1" descr="HOJA barra_OFICIO_IPS 2015">
          <a:extLst>
            <a:ext uri="{FF2B5EF4-FFF2-40B4-BE49-F238E27FC236}">
              <a16:creationId xmlns=""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74282" y="66347"/>
          <a:ext cx="841105" cy="508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421403</xdr:colOff>
      <xdr:row>0</xdr:row>
      <xdr:rowOff>0</xdr:rowOff>
    </xdr:from>
    <xdr:to>
      <xdr:col>1</xdr:col>
      <xdr:colOff>1543050</xdr:colOff>
      <xdr:row>2</xdr:row>
      <xdr:rowOff>53600</xdr:rowOff>
    </xdr:to>
    <xdr:pic>
      <xdr:nvPicPr>
        <xdr:cNvPr id="5" name="4 Imagen" descr="gobiernonacionalb (1).png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93428" y="0"/>
          <a:ext cx="1121647" cy="548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142241</xdr:colOff>
      <xdr:row>0</xdr:row>
      <xdr:rowOff>40979</xdr:rowOff>
    </xdr:from>
    <xdr:to>
      <xdr:col>0</xdr:col>
      <xdr:colOff>1041246</xdr:colOff>
      <xdr:row>2</xdr:row>
      <xdr:rowOff>66674</xdr:rowOff>
    </xdr:to>
    <xdr:pic>
      <xdr:nvPicPr>
        <xdr:cNvPr id="6" name="Picture 1" descr="HOJA barra_OFICIO_IPS 201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142241" y="40979"/>
          <a:ext cx="899005" cy="5209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261937</xdr:colOff>
      <xdr:row>0</xdr:row>
      <xdr:rowOff>141287</xdr:rowOff>
    </xdr:from>
    <xdr:to>
      <xdr:col>20</xdr:col>
      <xdr:colOff>365806</xdr:colOff>
      <xdr:row>2</xdr:row>
      <xdr:rowOff>12803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60017" y="141287"/>
          <a:ext cx="2144941" cy="755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253276</xdr:colOff>
      <xdr:row>0</xdr:row>
      <xdr:rowOff>107134</xdr:rowOff>
    </xdr:from>
    <xdr:to>
      <xdr:col>2</xdr:col>
      <xdr:colOff>476249</xdr:colOff>
      <xdr:row>2</xdr:row>
      <xdr:rowOff>186479</xdr:rowOff>
    </xdr:to>
    <xdr:pic>
      <xdr:nvPicPr>
        <xdr:cNvPr id="4" name="Picture 1" descr="HOJA barra_OFICIO_IPS 2015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253276" y="107134"/>
          <a:ext cx="1430607" cy="9638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252618</xdr:colOff>
      <xdr:row>0</xdr:row>
      <xdr:rowOff>35254</xdr:rowOff>
    </xdr:from>
    <xdr:to>
      <xdr:col>33</xdr:col>
      <xdr:colOff>503465</xdr:colOff>
      <xdr:row>2</xdr:row>
      <xdr:rowOff>54429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62082" y="239361"/>
          <a:ext cx="1665990" cy="577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92529</xdr:colOff>
      <xdr:row>0</xdr:row>
      <xdr:rowOff>24188</xdr:rowOff>
    </xdr:from>
    <xdr:to>
      <xdr:col>0</xdr:col>
      <xdr:colOff>1251857</xdr:colOff>
      <xdr:row>2</xdr:row>
      <xdr:rowOff>163286</xdr:rowOff>
    </xdr:to>
    <xdr:pic>
      <xdr:nvPicPr>
        <xdr:cNvPr id="4" name="Picture 1" descr="HOJA barra_OFICIO_IPS 2015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92529" y="228295"/>
          <a:ext cx="1159328" cy="6289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28575</xdr:rowOff>
    </xdr:from>
    <xdr:to>
      <xdr:col>5</xdr:col>
      <xdr:colOff>762001</xdr:colOff>
      <xdr:row>2</xdr:row>
      <xdr:rowOff>66675</xdr:rowOff>
    </xdr:to>
    <xdr:pic>
      <xdr:nvPicPr>
        <xdr:cNvPr id="4" name="3 Imagen" descr="gobiernonacionalb (1).png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81625" y="28575"/>
          <a:ext cx="942976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0</xdr:row>
      <xdr:rowOff>36328</xdr:rowOff>
    </xdr:from>
    <xdr:to>
      <xdr:col>0</xdr:col>
      <xdr:colOff>952500</xdr:colOff>
      <xdr:row>2</xdr:row>
      <xdr:rowOff>47626</xdr:rowOff>
    </xdr:to>
    <xdr:pic>
      <xdr:nvPicPr>
        <xdr:cNvPr id="5" name="Picture 1" descr="HOJA barra_OFICIO_IPS 2015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161925" y="36328"/>
          <a:ext cx="790575" cy="506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361951</xdr:colOff>
      <xdr:row>0</xdr:row>
      <xdr:rowOff>2070</xdr:rowOff>
    </xdr:from>
    <xdr:to>
      <xdr:col>1</xdr:col>
      <xdr:colOff>1377369</xdr:colOff>
      <xdr:row>1</xdr:row>
      <xdr:rowOff>240831</xdr:rowOff>
    </xdr:to>
    <xdr:pic>
      <xdr:nvPicPr>
        <xdr:cNvPr id="4" name="3 Imagen" descr="gobiernonacionalb (1).png">
          <a:extLst>
            <a:ext uri="{FF2B5EF4-FFF2-40B4-BE49-F238E27FC236}">
              <a16:creationId xmlns=""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1" y="2070"/>
          <a:ext cx="1015418" cy="4864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67081</xdr:colOff>
      <xdr:row>0</xdr:row>
      <xdr:rowOff>47625</xdr:rowOff>
    </xdr:from>
    <xdr:to>
      <xdr:col>0</xdr:col>
      <xdr:colOff>809795</xdr:colOff>
      <xdr:row>2</xdr:row>
      <xdr:rowOff>66674</xdr:rowOff>
    </xdr:to>
    <xdr:pic>
      <xdr:nvPicPr>
        <xdr:cNvPr id="5" name="Picture 1" descr="HOJA barra_OFICIO_IPS 2015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67081" y="47625"/>
          <a:ext cx="74271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390525</xdr:colOff>
      <xdr:row>66</xdr:row>
      <xdr:rowOff>21121</xdr:rowOff>
    </xdr:from>
    <xdr:to>
      <xdr:col>1</xdr:col>
      <xdr:colOff>1396417</xdr:colOff>
      <xdr:row>67</xdr:row>
      <xdr:rowOff>205805</xdr:rowOff>
    </xdr:to>
    <xdr:pic>
      <xdr:nvPicPr>
        <xdr:cNvPr id="6" name="5 Imagen" descr="gobiernonacionalb (1)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05325" y="10755796"/>
          <a:ext cx="1005892" cy="4323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38100</xdr:colOff>
      <xdr:row>66</xdr:row>
      <xdr:rowOff>9524</xdr:rowOff>
    </xdr:from>
    <xdr:to>
      <xdr:col>0</xdr:col>
      <xdr:colOff>800099</xdr:colOff>
      <xdr:row>68</xdr:row>
      <xdr:rowOff>12988</xdr:rowOff>
    </xdr:to>
    <xdr:pic>
      <xdr:nvPicPr>
        <xdr:cNvPr id="7" name="Picture 1" descr="HOJA barra_OFICIO_IPS 2015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70973"/>
        <a:stretch>
          <a:fillRect/>
        </a:stretch>
      </xdr:blipFill>
      <xdr:spPr bwMode="auto">
        <a:xfrm>
          <a:off x="38100" y="10744199"/>
          <a:ext cx="761999" cy="4987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102810</xdr:colOff>
      <xdr:row>0</xdr:row>
      <xdr:rowOff>127000</xdr:rowOff>
    </xdr:from>
    <xdr:to>
      <xdr:col>30</xdr:col>
      <xdr:colOff>255217</xdr:colOff>
      <xdr:row>3</xdr:row>
      <xdr:rowOff>40066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91977" y="127000"/>
          <a:ext cx="1530757" cy="5480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1809750</xdr:colOff>
      <xdr:row>0</xdr:row>
      <xdr:rowOff>0</xdr:rowOff>
    </xdr:from>
    <xdr:to>
      <xdr:col>2</xdr:col>
      <xdr:colOff>7422</xdr:colOff>
      <xdr:row>3</xdr:row>
      <xdr:rowOff>141817</xdr:rowOff>
    </xdr:to>
    <xdr:pic>
      <xdr:nvPicPr>
        <xdr:cNvPr id="4" name="3 Imagen" descr="Imagen1.png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2">
              <a:tint val="45000"/>
              <a:satMod val="400000"/>
            </a:schemeClr>
          </a:duotone>
          <a:lum bright="-10000"/>
        </a:blip>
        <a:srcRect l="7236" t="6402" r="391" b="736"/>
        <a:stretch>
          <a:fillRect/>
        </a:stretch>
      </xdr:blipFill>
      <xdr:spPr>
        <a:xfrm>
          <a:off x="3162300" y="180975"/>
          <a:ext cx="2722" cy="7715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597203</xdr:colOff>
      <xdr:row>0</xdr:row>
      <xdr:rowOff>52917</xdr:rowOff>
    </xdr:from>
    <xdr:to>
      <xdr:col>0</xdr:col>
      <xdr:colOff>1704892</xdr:colOff>
      <xdr:row>3</xdr:row>
      <xdr:rowOff>18323</xdr:rowOff>
    </xdr:to>
    <xdr:pic>
      <xdr:nvPicPr>
        <xdr:cNvPr id="5" name="Picture 1" descr="HOJA barra_OFICIO_IPS 2015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70973"/>
        <a:stretch>
          <a:fillRect/>
        </a:stretch>
      </xdr:blipFill>
      <xdr:spPr bwMode="auto">
        <a:xfrm>
          <a:off x="597203" y="52917"/>
          <a:ext cx="1107689" cy="6004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81643</xdr:colOff>
      <xdr:row>0</xdr:row>
      <xdr:rowOff>118382</xdr:rowOff>
    </xdr:from>
    <xdr:to>
      <xdr:col>32</xdr:col>
      <xdr:colOff>337005</xdr:colOff>
      <xdr:row>3</xdr:row>
      <xdr:rowOff>61232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00" y="308882"/>
          <a:ext cx="1838326" cy="6640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1809750</xdr:colOff>
      <xdr:row>0</xdr:row>
      <xdr:rowOff>0</xdr:rowOff>
    </xdr:from>
    <xdr:to>
      <xdr:col>2</xdr:col>
      <xdr:colOff>9607</xdr:colOff>
      <xdr:row>3</xdr:row>
      <xdr:rowOff>57150</xdr:rowOff>
    </xdr:to>
    <xdr:pic>
      <xdr:nvPicPr>
        <xdr:cNvPr id="4" name="3 Imagen" descr="Imagen1.png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2">
              <a:tint val="45000"/>
              <a:satMod val="400000"/>
            </a:schemeClr>
          </a:duotone>
          <a:lum bright="-10000"/>
        </a:blip>
        <a:srcRect l="7236" t="6402" r="391" b="736"/>
        <a:stretch>
          <a:fillRect/>
        </a:stretch>
      </xdr:blipFill>
      <xdr:spPr>
        <a:xfrm>
          <a:off x="1809750" y="180975"/>
          <a:ext cx="314325" cy="7715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95250</xdr:colOff>
      <xdr:row>0</xdr:row>
      <xdr:rowOff>104775</xdr:rowOff>
    </xdr:from>
    <xdr:to>
      <xdr:col>0</xdr:col>
      <xdr:colOff>1162728</xdr:colOff>
      <xdr:row>3</xdr:row>
      <xdr:rowOff>64477</xdr:rowOff>
    </xdr:to>
    <xdr:pic>
      <xdr:nvPicPr>
        <xdr:cNvPr id="5" name="Picture 1" descr="HOJA barra_OFICIO_IPS 2015">
          <a:extLst>
            <a:ext uri="{FF2B5EF4-FFF2-40B4-BE49-F238E27FC236}">
              <a16:creationId xmlns=""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70973"/>
        <a:stretch>
          <a:fillRect/>
        </a:stretch>
      </xdr:blipFill>
      <xdr:spPr bwMode="auto">
        <a:xfrm>
          <a:off x="95250" y="295275"/>
          <a:ext cx="1067478" cy="674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85725</xdr:colOff>
      <xdr:row>0</xdr:row>
      <xdr:rowOff>114300</xdr:rowOff>
    </xdr:from>
    <xdr:to>
      <xdr:col>32</xdr:col>
      <xdr:colOff>447676</xdr:colOff>
      <xdr:row>1</xdr:row>
      <xdr:rowOff>152400</xdr:rowOff>
    </xdr:to>
    <xdr:pic>
      <xdr:nvPicPr>
        <xdr:cNvPr id="2" name="1 Imagen" descr="gobiernonacionalb (1).png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5" y="304800"/>
          <a:ext cx="1838326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1809750</xdr:colOff>
      <xdr:row>0</xdr:row>
      <xdr:rowOff>0</xdr:rowOff>
    </xdr:from>
    <xdr:to>
      <xdr:col>2</xdr:col>
      <xdr:colOff>2722</xdr:colOff>
      <xdr:row>1</xdr:row>
      <xdr:rowOff>152400</xdr:rowOff>
    </xdr:to>
    <xdr:pic>
      <xdr:nvPicPr>
        <xdr:cNvPr id="3" name="2 Imagen" descr="Imagen1.png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2">
              <a:tint val="45000"/>
              <a:satMod val="400000"/>
            </a:schemeClr>
          </a:duotone>
          <a:lum bright="-10000"/>
        </a:blip>
        <a:srcRect l="7236" t="6402" r="391" b="736"/>
        <a:stretch>
          <a:fillRect/>
        </a:stretch>
      </xdr:blipFill>
      <xdr:spPr>
        <a:xfrm>
          <a:off x="4572000" y="180975"/>
          <a:ext cx="2722" cy="6286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161925</xdr:colOff>
      <xdr:row>0</xdr:row>
      <xdr:rowOff>0</xdr:rowOff>
    </xdr:from>
    <xdr:to>
      <xdr:col>0</xdr:col>
      <xdr:colOff>1581150</xdr:colOff>
      <xdr:row>3</xdr:row>
      <xdr:rowOff>133350</xdr:rowOff>
    </xdr:to>
    <xdr:pic>
      <xdr:nvPicPr>
        <xdr:cNvPr id="4" name="Picture 1" descr="HOJA barra_OFICIO_IPS 2015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70973"/>
        <a:stretch>
          <a:fillRect/>
        </a:stretch>
      </xdr:blipFill>
      <xdr:spPr bwMode="auto">
        <a:xfrm>
          <a:off x="923925" y="152400"/>
          <a:ext cx="141922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13" workbookViewId="0">
      <selection activeCell="B42" sqref="B42:C45"/>
    </sheetView>
  </sheetViews>
  <sheetFormatPr baseColWidth="10" defaultRowHeight="15" x14ac:dyDescent="0.25"/>
  <cols>
    <col min="1" max="1" width="55.5703125" customWidth="1"/>
    <col min="2" max="3" width="20.7109375" customWidth="1"/>
    <col min="4" max="4" width="10.85546875" customWidth="1"/>
  </cols>
  <sheetData>
    <row r="1" spans="1:7" ht="20.100000000000001" customHeight="1" x14ac:dyDescent="0.4">
      <c r="A1" s="379" t="s">
        <v>97</v>
      </c>
      <c r="B1" s="380"/>
      <c r="C1" s="381"/>
      <c r="E1" s="21"/>
      <c r="F1" s="21"/>
      <c r="G1" s="21"/>
    </row>
    <row r="2" spans="1:7" ht="20.100000000000001" customHeight="1" x14ac:dyDescent="0.4">
      <c r="A2" s="382" t="s">
        <v>87</v>
      </c>
      <c r="B2" s="383"/>
      <c r="C2" s="384"/>
      <c r="E2" s="21"/>
      <c r="F2" s="21"/>
      <c r="G2" s="21"/>
    </row>
    <row r="3" spans="1:7" ht="20.100000000000001" customHeight="1" thickBot="1" x14ac:dyDescent="0.45">
      <c r="A3" s="385" t="s">
        <v>289</v>
      </c>
      <c r="B3" s="386"/>
      <c r="C3" s="387"/>
      <c r="E3" s="21"/>
      <c r="F3" s="21"/>
      <c r="G3" s="21"/>
    </row>
    <row r="4" spans="1:7" ht="15" customHeight="1" x14ac:dyDescent="0.25">
      <c r="A4" s="214"/>
      <c r="D4" s="22"/>
      <c r="E4" s="22"/>
      <c r="F4" s="22"/>
      <c r="G4" s="22"/>
    </row>
    <row r="5" spans="1:7" x14ac:dyDescent="0.25">
      <c r="A5" s="249" t="s">
        <v>646</v>
      </c>
      <c r="B5" s="120"/>
    </row>
    <row r="6" spans="1:7" x14ac:dyDescent="0.25">
      <c r="A6" s="249" t="s">
        <v>645</v>
      </c>
      <c r="B6" s="120"/>
    </row>
    <row r="7" spans="1:7" ht="15" customHeight="1" x14ac:dyDescent="0.25">
      <c r="A7" s="249" t="s">
        <v>620</v>
      </c>
      <c r="B7" s="2"/>
    </row>
    <row r="8" spans="1:7" ht="24" customHeight="1" x14ac:dyDescent="0.25">
      <c r="A8" s="205" t="s">
        <v>637</v>
      </c>
      <c r="B8" s="4"/>
      <c r="C8" s="5"/>
      <c r="D8" s="5"/>
    </row>
    <row r="9" spans="1:7" ht="16.5" customHeight="1" x14ac:dyDescent="0.25">
      <c r="A9" s="388" t="s">
        <v>283</v>
      </c>
      <c r="B9" s="388"/>
      <c r="C9" s="388"/>
      <c r="D9" s="5"/>
    </row>
    <row r="10" spans="1:7" ht="24.95" customHeight="1" x14ac:dyDescent="0.25">
      <c r="A10" s="377" t="s">
        <v>303</v>
      </c>
      <c r="B10" s="378" t="s">
        <v>114</v>
      </c>
      <c r="C10" s="378" t="s">
        <v>93</v>
      </c>
      <c r="D10" s="8"/>
    </row>
    <row r="11" spans="1:7" ht="24.95" customHeight="1" x14ac:dyDescent="0.25">
      <c r="A11" s="377"/>
      <c r="B11" s="378"/>
      <c r="C11" s="378"/>
      <c r="D11" s="8"/>
    </row>
    <row r="12" spans="1:7" x14ac:dyDescent="0.25">
      <c r="A12" s="121" t="s">
        <v>21</v>
      </c>
      <c r="B12" s="334"/>
      <c r="C12" s="334"/>
    </row>
    <row r="13" spans="1:7" x14ac:dyDescent="0.25">
      <c r="A13" s="122" t="s">
        <v>22</v>
      </c>
      <c r="B13" s="335"/>
      <c r="C13" s="335"/>
    </row>
    <row r="14" spans="1:7" x14ac:dyDescent="0.25">
      <c r="A14" s="122" t="s">
        <v>23</v>
      </c>
      <c r="B14" s="335"/>
      <c r="C14" s="335"/>
    </row>
    <row r="15" spans="1:7" x14ac:dyDescent="0.25">
      <c r="A15" s="122" t="s">
        <v>24</v>
      </c>
      <c r="B15" s="335"/>
      <c r="C15" s="335"/>
    </row>
    <row r="16" spans="1:7" x14ac:dyDescent="0.25">
      <c r="A16" s="122" t="s">
        <v>25</v>
      </c>
      <c r="B16" s="335"/>
      <c r="C16" s="335"/>
    </row>
    <row r="17" spans="1:3" x14ac:dyDescent="0.25">
      <c r="A17" s="123" t="s">
        <v>26</v>
      </c>
      <c r="B17" s="334"/>
      <c r="C17" s="334"/>
    </row>
    <row r="18" spans="1:3" x14ac:dyDescent="0.25">
      <c r="A18" s="122" t="s">
        <v>27</v>
      </c>
      <c r="B18" s="335"/>
      <c r="C18" s="335"/>
    </row>
    <row r="19" spans="1:3" x14ac:dyDescent="0.25">
      <c r="A19" s="122" t="s">
        <v>28</v>
      </c>
      <c r="B19" s="335"/>
      <c r="C19" s="335"/>
    </row>
    <row r="20" spans="1:3" x14ac:dyDescent="0.25">
      <c r="A20" s="122" t="s">
        <v>101</v>
      </c>
      <c r="B20" s="335"/>
      <c r="C20" s="335"/>
    </row>
    <row r="21" spans="1:3" x14ac:dyDescent="0.25">
      <c r="A21" s="122" t="s">
        <v>102</v>
      </c>
      <c r="B21" s="335"/>
      <c r="C21" s="335"/>
    </row>
    <row r="22" spans="1:3" x14ac:dyDescent="0.25">
      <c r="A22" s="122" t="s">
        <v>103</v>
      </c>
      <c r="B22" s="335"/>
      <c r="C22" s="335"/>
    </row>
    <row r="23" spans="1:3" x14ac:dyDescent="0.25">
      <c r="A23" s="122" t="s">
        <v>104</v>
      </c>
      <c r="B23" s="335"/>
      <c r="C23" s="335"/>
    </row>
    <row r="24" spans="1:3" x14ac:dyDescent="0.25">
      <c r="A24" s="124" t="s">
        <v>29</v>
      </c>
      <c r="B24" s="336"/>
      <c r="C24" s="336"/>
    </row>
    <row r="25" spans="1:3" x14ac:dyDescent="0.25">
      <c r="A25" s="122" t="s">
        <v>22</v>
      </c>
      <c r="B25" s="335"/>
      <c r="C25" s="335"/>
    </row>
    <row r="26" spans="1:3" x14ac:dyDescent="0.25">
      <c r="A26" s="122" t="s">
        <v>24</v>
      </c>
      <c r="B26" s="335"/>
      <c r="C26" s="335"/>
    </row>
    <row r="27" spans="1:3" x14ac:dyDescent="0.25">
      <c r="A27" s="121" t="s">
        <v>30</v>
      </c>
      <c r="B27" s="334"/>
      <c r="C27" s="334"/>
    </row>
    <row r="28" spans="1:3" x14ac:dyDescent="0.25">
      <c r="A28" s="122" t="s">
        <v>98</v>
      </c>
      <c r="B28" s="335"/>
      <c r="C28" s="335"/>
    </row>
    <row r="29" spans="1:3" x14ac:dyDescent="0.25">
      <c r="A29" s="122" t="s">
        <v>99</v>
      </c>
      <c r="B29" s="335"/>
      <c r="C29" s="335"/>
    </row>
    <row r="30" spans="1:3" x14ac:dyDescent="0.25">
      <c r="A30" s="122" t="s">
        <v>23</v>
      </c>
      <c r="B30" s="335"/>
      <c r="C30" s="335"/>
    </row>
    <row r="31" spans="1:3" x14ac:dyDescent="0.25">
      <c r="A31" s="122" t="s">
        <v>24</v>
      </c>
      <c r="B31" s="335"/>
      <c r="C31" s="335"/>
    </row>
    <row r="32" spans="1:3" x14ac:dyDescent="0.25">
      <c r="A32" s="122" t="s">
        <v>31</v>
      </c>
      <c r="B32" s="335"/>
      <c r="C32" s="335"/>
    </row>
    <row r="33" spans="1:3" x14ac:dyDescent="0.25">
      <c r="A33" s="122" t="s">
        <v>100</v>
      </c>
      <c r="B33" s="335"/>
      <c r="C33" s="335"/>
    </row>
    <row r="34" spans="1:3" x14ac:dyDescent="0.25">
      <c r="A34" s="124" t="s">
        <v>33</v>
      </c>
      <c r="B34" s="336"/>
      <c r="C34" s="336"/>
    </row>
    <row r="35" spans="1:3" x14ac:dyDescent="0.25">
      <c r="A35" s="122" t="s">
        <v>34</v>
      </c>
      <c r="B35" s="335"/>
      <c r="C35" s="335"/>
    </row>
    <row r="36" spans="1:3" x14ac:dyDescent="0.25">
      <c r="A36" s="122" t="s">
        <v>23</v>
      </c>
      <c r="B36" s="335"/>
      <c r="C36" s="335"/>
    </row>
    <row r="37" spans="1:3" x14ac:dyDescent="0.25">
      <c r="A37" s="122" t="s">
        <v>24</v>
      </c>
      <c r="B37" s="335"/>
      <c r="C37" s="335"/>
    </row>
    <row r="38" spans="1:3" x14ac:dyDescent="0.25">
      <c r="A38" s="125" t="s">
        <v>132</v>
      </c>
      <c r="B38" s="336"/>
      <c r="C38" s="336"/>
    </row>
    <row r="39" spans="1:3" x14ac:dyDescent="0.25">
      <c r="A39" s="126" t="s">
        <v>36</v>
      </c>
      <c r="B39" s="337"/>
      <c r="C39" s="337"/>
    </row>
    <row r="40" spans="1:3" x14ac:dyDescent="0.25">
      <c r="A40" s="126" t="s">
        <v>23</v>
      </c>
      <c r="B40" s="337"/>
      <c r="C40" s="337"/>
    </row>
    <row r="41" spans="1:3" x14ac:dyDescent="0.25">
      <c r="A41" s="122" t="s">
        <v>24</v>
      </c>
      <c r="B41" s="335"/>
      <c r="C41" s="335"/>
    </row>
    <row r="42" spans="1:3" ht="20.100000000000001" customHeight="1" x14ac:dyDescent="0.25">
      <c r="A42" s="316" t="s">
        <v>302</v>
      </c>
      <c r="B42" s="245"/>
      <c r="C42" s="245"/>
    </row>
    <row r="43" spans="1:3" ht="20.100000000000001" customHeight="1" x14ac:dyDescent="0.25">
      <c r="A43" s="316" t="s">
        <v>553</v>
      </c>
      <c r="B43" s="376"/>
      <c r="C43" s="377"/>
    </row>
    <row r="44" spans="1:3" ht="20.100000000000001" customHeight="1" x14ac:dyDescent="0.25">
      <c r="A44" s="212"/>
      <c r="B44" s="213"/>
      <c r="C44" s="213"/>
    </row>
    <row r="45" spans="1:3" ht="19.899999999999999" customHeight="1" x14ac:dyDescent="0.25">
      <c r="A45" s="316" t="s">
        <v>554</v>
      </c>
      <c r="B45" s="245"/>
      <c r="C45" s="245"/>
    </row>
    <row r="46" spans="1:3" ht="19.899999999999999" customHeight="1" x14ac:dyDescent="0.25">
      <c r="A46" s="212"/>
      <c r="B46" s="213"/>
      <c r="C46" s="213"/>
    </row>
    <row r="47" spans="1:3" ht="19.899999999999999" customHeight="1" x14ac:dyDescent="0.25">
      <c r="A47" s="212"/>
      <c r="B47" s="213"/>
      <c r="C47" s="213"/>
    </row>
    <row r="48" spans="1:3" x14ac:dyDescent="0.25">
      <c r="A48" s="325" t="s">
        <v>544</v>
      </c>
      <c r="B48" s="325" t="s">
        <v>541</v>
      </c>
    </row>
    <row r="49" spans="1:2" x14ac:dyDescent="0.25">
      <c r="A49" s="325" t="s">
        <v>545</v>
      </c>
      <c r="B49" s="325" t="s">
        <v>128</v>
      </c>
    </row>
  </sheetData>
  <mergeCells count="8">
    <mergeCell ref="B43:C43"/>
    <mergeCell ref="C10:C11"/>
    <mergeCell ref="A10:A11"/>
    <mergeCell ref="A1:C1"/>
    <mergeCell ref="A2:C2"/>
    <mergeCell ref="A3:C3"/>
    <mergeCell ref="B10:B11"/>
    <mergeCell ref="A9:C9"/>
  </mergeCells>
  <pageMargins left="0.92" right="0.7" top="0.75" bottom="0.75" header="0.3" footer="0.3"/>
  <pageSetup paperSize="14" scale="85" orientation="portrait" copies="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25" workbookViewId="0">
      <selection activeCell="A5" sqref="A5"/>
    </sheetView>
  </sheetViews>
  <sheetFormatPr baseColWidth="10" defaultRowHeight="15" x14ac:dyDescent="0.25"/>
  <cols>
    <col min="1" max="1" width="65.7109375" customWidth="1"/>
    <col min="2" max="2" width="18.42578125" customWidth="1"/>
    <col min="3" max="3" width="10.7109375" customWidth="1"/>
  </cols>
  <sheetData>
    <row r="1" spans="1:2" ht="20.100000000000001" customHeight="1" x14ac:dyDescent="0.25">
      <c r="A1" s="389" t="s">
        <v>97</v>
      </c>
      <c r="B1" s="390"/>
    </row>
    <row r="2" spans="1:2" ht="20.100000000000001" customHeight="1" x14ac:dyDescent="0.25">
      <c r="A2" s="391" t="s">
        <v>87</v>
      </c>
      <c r="B2" s="392"/>
    </row>
    <row r="3" spans="1:2" ht="20.100000000000001" customHeight="1" thickBot="1" x14ac:dyDescent="0.3">
      <c r="A3" s="393" t="s">
        <v>289</v>
      </c>
      <c r="B3" s="394"/>
    </row>
    <row r="4" spans="1:2" ht="15.75" x14ac:dyDescent="0.25">
      <c r="A4" s="249" t="s">
        <v>646</v>
      </c>
      <c r="B4" s="6"/>
    </row>
    <row r="5" spans="1:2" ht="15.75" x14ac:dyDescent="0.25">
      <c r="A5" s="249" t="s">
        <v>645</v>
      </c>
      <c r="B5" s="6"/>
    </row>
    <row r="6" spans="1:2" ht="15.75" x14ac:dyDescent="0.25">
      <c r="A6" s="249" t="s">
        <v>620</v>
      </c>
      <c r="B6" s="6"/>
    </row>
    <row r="7" spans="1:2" ht="15.75" x14ac:dyDescent="0.25">
      <c r="A7" s="205" t="s">
        <v>638</v>
      </c>
      <c r="B7" s="4"/>
    </row>
    <row r="8" spans="1:2" ht="15.75" x14ac:dyDescent="0.25">
      <c r="A8" s="204"/>
      <c r="B8" s="4"/>
    </row>
    <row r="9" spans="1:2" ht="18" x14ac:dyDescent="0.25">
      <c r="A9" s="388" t="s">
        <v>291</v>
      </c>
      <c r="B9" s="388"/>
    </row>
    <row r="10" spans="1:2" ht="24.95" customHeight="1" x14ac:dyDescent="0.25">
      <c r="A10" s="252" t="s">
        <v>138</v>
      </c>
      <c r="B10" s="252" t="s">
        <v>131</v>
      </c>
    </row>
    <row r="11" spans="1:2" ht="15" customHeight="1" x14ac:dyDescent="0.25">
      <c r="A11" s="251" t="s">
        <v>410</v>
      </c>
      <c r="B11" s="216"/>
    </row>
    <row r="12" spans="1:2" ht="15" customHeight="1" x14ac:dyDescent="0.25">
      <c r="A12" s="251" t="s">
        <v>441</v>
      </c>
      <c r="B12" s="216"/>
    </row>
    <row r="13" spans="1:2" ht="15" customHeight="1" x14ac:dyDescent="0.25">
      <c r="A13" s="251" t="s">
        <v>442</v>
      </c>
      <c r="B13" s="216"/>
    </row>
    <row r="14" spans="1:2" ht="15" customHeight="1" x14ac:dyDescent="0.25">
      <c r="A14" s="251" t="s">
        <v>433</v>
      </c>
      <c r="B14" s="216"/>
    </row>
    <row r="15" spans="1:2" ht="15" customHeight="1" x14ac:dyDescent="0.25">
      <c r="A15" s="251" t="s">
        <v>411</v>
      </c>
      <c r="B15" s="216"/>
    </row>
    <row r="16" spans="1:2" ht="15" customHeight="1" x14ac:dyDescent="0.25">
      <c r="A16" s="251" t="s">
        <v>435</v>
      </c>
      <c r="B16" s="216"/>
    </row>
    <row r="17" spans="1:2" ht="15" customHeight="1" x14ac:dyDescent="0.25">
      <c r="A17" s="251" t="s">
        <v>444</v>
      </c>
      <c r="B17" s="216"/>
    </row>
    <row r="18" spans="1:2" ht="15" customHeight="1" x14ac:dyDescent="0.25">
      <c r="A18" s="251" t="s">
        <v>414</v>
      </c>
      <c r="B18" s="216"/>
    </row>
    <row r="19" spans="1:2" ht="15" customHeight="1" x14ac:dyDescent="0.25">
      <c r="A19" s="251" t="s">
        <v>413</v>
      </c>
      <c r="B19" s="216"/>
    </row>
    <row r="20" spans="1:2" ht="15" customHeight="1" x14ac:dyDescent="0.25">
      <c r="A20" s="251" t="s">
        <v>417</v>
      </c>
      <c r="B20" s="216"/>
    </row>
    <row r="21" spans="1:2" ht="15" customHeight="1" x14ac:dyDescent="0.25">
      <c r="A21" s="251" t="s">
        <v>421</v>
      </c>
      <c r="B21" s="216"/>
    </row>
    <row r="22" spans="1:2" ht="15" customHeight="1" x14ac:dyDescent="0.25">
      <c r="A22" s="251" t="s">
        <v>438</v>
      </c>
      <c r="B22" s="216"/>
    </row>
    <row r="23" spans="1:2" ht="15" customHeight="1" x14ac:dyDescent="0.25">
      <c r="A23" s="251" t="s">
        <v>443</v>
      </c>
      <c r="B23" s="216"/>
    </row>
    <row r="24" spans="1:2" ht="15" customHeight="1" x14ac:dyDescent="0.25">
      <c r="A24" s="251" t="s">
        <v>432</v>
      </c>
      <c r="B24" s="216"/>
    </row>
    <row r="25" spans="1:2" ht="15" customHeight="1" x14ac:dyDescent="0.25">
      <c r="A25" s="251" t="s">
        <v>436</v>
      </c>
      <c r="B25" s="216"/>
    </row>
    <row r="26" spans="1:2" ht="15" customHeight="1" x14ac:dyDescent="0.25">
      <c r="A26" s="251" t="s">
        <v>420</v>
      </c>
      <c r="B26" s="216"/>
    </row>
    <row r="27" spans="1:2" ht="15" customHeight="1" x14ac:dyDescent="0.25">
      <c r="A27" s="251" t="s">
        <v>418</v>
      </c>
      <c r="B27" s="216"/>
    </row>
    <row r="28" spans="1:2" ht="15" customHeight="1" x14ac:dyDescent="0.25">
      <c r="A28" s="251" t="s">
        <v>434</v>
      </c>
      <c r="B28" s="216"/>
    </row>
    <row r="29" spans="1:2" ht="15" customHeight="1" x14ac:dyDescent="0.25">
      <c r="A29" s="251" t="s">
        <v>427</v>
      </c>
      <c r="B29" s="216"/>
    </row>
    <row r="30" spans="1:2" ht="15" customHeight="1" x14ac:dyDescent="0.25">
      <c r="A30" s="251" t="s">
        <v>431</v>
      </c>
      <c r="B30" s="216"/>
    </row>
    <row r="31" spans="1:2" ht="15" customHeight="1" x14ac:dyDescent="0.25">
      <c r="A31" s="251" t="s">
        <v>416</v>
      </c>
      <c r="B31" s="216"/>
    </row>
    <row r="32" spans="1:2" ht="15" customHeight="1" x14ac:dyDescent="0.25">
      <c r="A32" s="251" t="s">
        <v>426</v>
      </c>
      <c r="B32" s="216"/>
    </row>
    <row r="33" spans="1:2" ht="15" customHeight="1" x14ac:dyDescent="0.25">
      <c r="A33" s="251" t="s">
        <v>293</v>
      </c>
      <c r="B33" s="216"/>
    </row>
    <row r="34" spans="1:2" ht="15" customHeight="1" x14ac:dyDescent="0.25">
      <c r="A34" s="251" t="s">
        <v>405</v>
      </c>
      <c r="B34" s="216"/>
    </row>
    <row r="35" spans="1:2" ht="15" customHeight="1" x14ac:dyDescent="0.25">
      <c r="A35" s="251" t="s">
        <v>408</v>
      </c>
      <c r="B35" s="216"/>
    </row>
    <row r="36" spans="1:2" ht="15" customHeight="1" x14ac:dyDescent="0.25">
      <c r="A36" s="251" t="s">
        <v>407</v>
      </c>
      <c r="B36" s="216"/>
    </row>
    <row r="37" spans="1:2" ht="15" customHeight="1" x14ac:dyDescent="0.25">
      <c r="A37" s="251" t="s">
        <v>406</v>
      </c>
      <c r="B37" s="216"/>
    </row>
    <row r="38" spans="1:2" ht="15" customHeight="1" x14ac:dyDescent="0.25">
      <c r="A38" s="251" t="s">
        <v>429</v>
      </c>
      <c r="B38" s="216"/>
    </row>
    <row r="39" spans="1:2" ht="15" customHeight="1" x14ac:dyDescent="0.25">
      <c r="A39" s="251" t="s">
        <v>430</v>
      </c>
      <c r="B39" s="216"/>
    </row>
    <row r="40" spans="1:2" ht="15" customHeight="1" x14ac:dyDescent="0.25">
      <c r="A40" s="251" t="s">
        <v>428</v>
      </c>
      <c r="B40" s="216"/>
    </row>
    <row r="41" spans="1:2" ht="15" customHeight="1" x14ac:dyDescent="0.25">
      <c r="A41" s="251" t="s">
        <v>425</v>
      </c>
      <c r="B41" s="216"/>
    </row>
    <row r="42" spans="1:2" ht="15" customHeight="1" x14ac:dyDescent="0.25">
      <c r="A42" s="251" t="s">
        <v>412</v>
      </c>
      <c r="B42" s="216"/>
    </row>
    <row r="43" spans="1:2" ht="15" customHeight="1" x14ac:dyDescent="0.25">
      <c r="A43" s="251" t="s">
        <v>446</v>
      </c>
      <c r="B43" s="216"/>
    </row>
    <row r="44" spans="1:2" ht="15" customHeight="1" x14ac:dyDescent="0.25">
      <c r="A44" s="251" t="s">
        <v>423</v>
      </c>
      <c r="B44" s="216"/>
    </row>
    <row r="45" spans="1:2" ht="15" customHeight="1" x14ac:dyDescent="0.25">
      <c r="A45" s="251" t="s">
        <v>445</v>
      </c>
      <c r="B45" s="216"/>
    </row>
    <row r="46" spans="1:2" ht="15" customHeight="1" x14ac:dyDescent="0.25">
      <c r="A46" s="251" t="s">
        <v>437</v>
      </c>
      <c r="B46" s="216"/>
    </row>
    <row r="47" spans="1:2" ht="15" customHeight="1" x14ac:dyDescent="0.25">
      <c r="A47" s="251" t="s">
        <v>440</v>
      </c>
      <c r="B47" s="216"/>
    </row>
    <row r="48" spans="1:2" ht="15" customHeight="1" x14ac:dyDescent="0.25">
      <c r="A48" s="251" t="s">
        <v>419</v>
      </c>
      <c r="B48" s="216"/>
    </row>
    <row r="49" spans="1:2" ht="15" customHeight="1" x14ac:dyDescent="0.25">
      <c r="A49" s="251" t="s">
        <v>409</v>
      </c>
      <c r="B49" s="216"/>
    </row>
    <row r="50" spans="1:2" ht="15" customHeight="1" x14ac:dyDescent="0.25">
      <c r="A50" s="251" t="s">
        <v>439</v>
      </c>
      <c r="B50" s="216"/>
    </row>
    <row r="51" spans="1:2" ht="15" customHeight="1" x14ac:dyDescent="0.25">
      <c r="A51" s="251" t="s">
        <v>415</v>
      </c>
      <c r="B51" s="216"/>
    </row>
    <row r="52" spans="1:2" ht="15" customHeight="1" x14ac:dyDescent="0.25">
      <c r="A52" s="251" t="s">
        <v>424</v>
      </c>
      <c r="B52" s="216"/>
    </row>
    <row r="53" spans="1:2" ht="15" customHeight="1" x14ac:dyDescent="0.25">
      <c r="A53" s="251" t="s">
        <v>404</v>
      </c>
      <c r="B53" s="216"/>
    </row>
    <row r="54" spans="1:2" ht="15" customHeight="1" x14ac:dyDescent="0.25">
      <c r="A54" s="251" t="s">
        <v>422</v>
      </c>
      <c r="B54" s="216"/>
    </row>
    <row r="55" spans="1:2" ht="15" customHeight="1" x14ac:dyDescent="0.25">
      <c r="A55" s="251" t="s">
        <v>447</v>
      </c>
      <c r="B55" s="216"/>
    </row>
    <row r="56" spans="1:2" s="250" customFormat="1" ht="24.95" customHeight="1" x14ac:dyDescent="0.25">
      <c r="A56" s="253" t="s">
        <v>555</v>
      </c>
      <c r="B56" s="252">
        <v>0</v>
      </c>
    </row>
    <row r="58" spans="1:2" x14ac:dyDescent="0.25">
      <c r="A58" s="324"/>
      <c r="B58" s="324"/>
    </row>
    <row r="59" spans="1:2" x14ac:dyDescent="0.25">
      <c r="A59" s="324" t="s">
        <v>540</v>
      </c>
      <c r="B59" s="324" t="s">
        <v>541</v>
      </c>
    </row>
    <row r="60" spans="1:2" x14ac:dyDescent="0.25">
      <c r="A60" s="324" t="s">
        <v>542</v>
      </c>
      <c r="B60" s="324" t="s">
        <v>543</v>
      </c>
    </row>
  </sheetData>
  <sortState ref="A11:A54">
    <sortCondition ref="A11"/>
  </sortState>
  <mergeCells count="4">
    <mergeCell ref="A1:B1"/>
    <mergeCell ref="A2:B2"/>
    <mergeCell ref="A3:B3"/>
    <mergeCell ref="A9:B9"/>
  </mergeCells>
  <pageMargins left="1.24" right="0.9" top="0.75" bottom="0.75" header="0.3" footer="0.3"/>
  <pageSetup paperSize="14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A20" sqref="A20"/>
    </sheetView>
  </sheetViews>
  <sheetFormatPr baseColWidth="10" defaultRowHeight="15" x14ac:dyDescent="0.25"/>
  <cols>
    <col min="1" max="1" width="64.42578125" customWidth="1"/>
    <col min="2" max="2" width="21.42578125" customWidth="1"/>
  </cols>
  <sheetData>
    <row r="1" spans="1:2" ht="20.100000000000001" customHeight="1" x14ac:dyDescent="0.25">
      <c r="A1" s="379" t="s">
        <v>97</v>
      </c>
      <c r="B1" s="381"/>
    </row>
    <row r="2" spans="1:2" ht="20.100000000000001" customHeight="1" x14ac:dyDescent="0.25">
      <c r="A2" s="382" t="s">
        <v>87</v>
      </c>
      <c r="B2" s="384"/>
    </row>
    <row r="3" spans="1:2" ht="20.100000000000001" customHeight="1" thickBot="1" x14ac:dyDescent="0.3">
      <c r="A3" s="385" t="s">
        <v>289</v>
      </c>
      <c r="B3" s="387"/>
    </row>
    <row r="4" spans="1:2" ht="10.5" customHeight="1" x14ac:dyDescent="0.25">
      <c r="A4" s="127"/>
      <c r="B4" s="127"/>
    </row>
    <row r="5" spans="1:2" ht="15" customHeight="1" x14ac:dyDescent="0.25">
      <c r="A5" s="249" t="s">
        <v>646</v>
      </c>
    </row>
    <row r="6" spans="1:2" ht="15" customHeight="1" x14ac:dyDescent="0.25">
      <c r="A6" s="249" t="s">
        <v>645</v>
      </c>
    </row>
    <row r="7" spans="1:2" ht="15" customHeight="1" x14ac:dyDescent="0.25">
      <c r="A7" s="249" t="s">
        <v>620</v>
      </c>
    </row>
    <row r="8" spans="1:2" ht="30" customHeight="1" x14ac:dyDescent="0.25">
      <c r="A8" s="205" t="s">
        <v>639</v>
      </c>
      <c r="B8" s="5"/>
    </row>
    <row r="9" spans="1:2" ht="17.25" customHeight="1" x14ac:dyDescent="0.25">
      <c r="A9" s="388" t="s">
        <v>292</v>
      </c>
      <c r="B9" s="388"/>
    </row>
    <row r="10" spans="1:2" ht="24.95" customHeight="1" x14ac:dyDescent="0.25">
      <c r="A10" s="245" t="s">
        <v>114</v>
      </c>
      <c r="B10" s="245" t="s">
        <v>154</v>
      </c>
    </row>
    <row r="11" spans="1:2" ht="15.75" x14ac:dyDescent="0.25">
      <c r="A11" s="236" t="s">
        <v>609</v>
      </c>
      <c r="B11" s="206"/>
    </row>
    <row r="12" spans="1:2" ht="15.75" x14ac:dyDescent="0.25">
      <c r="A12" s="236" t="s">
        <v>454</v>
      </c>
      <c r="B12" s="206"/>
    </row>
    <row r="13" spans="1:2" x14ac:dyDescent="0.25">
      <c r="A13" s="236" t="s">
        <v>455</v>
      </c>
      <c r="B13" s="233"/>
    </row>
    <row r="14" spans="1:2" ht="15.75" x14ac:dyDescent="0.25">
      <c r="A14" s="236" t="s">
        <v>456</v>
      </c>
      <c r="B14" s="206"/>
    </row>
    <row r="15" spans="1:2" ht="15.75" x14ac:dyDescent="0.25">
      <c r="A15" s="236" t="s">
        <v>457</v>
      </c>
      <c r="B15" s="206"/>
    </row>
    <row r="16" spans="1:2" ht="15.75" x14ac:dyDescent="0.25">
      <c r="A16" s="236" t="s">
        <v>458</v>
      </c>
      <c r="B16" s="234"/>
    </row>
    <row r="17" spans="1:2" ht="15.75" x14ac:dyDescent="0.25">
      <c r="A17" s="236" t="s">
        <v>459</v>
      </c>
      <c r="B17" s="206"/>
    </row>
    <row r="18" spans="1:2" ht="15.75" x14ac:dyDescent="0.25">
      <c r="A18" s="236" t="s">
        <v>460</v>
      </c>
      <c r="B18" s="234"/>
    </row>
    <row r="19" spans="1:2" x14ac:dyDescent="0.25">
      <c r="A19" s="236" t="s">
        <v>461</v>
      </c>
      <c r="B19" s="233"/>
    </row>
    <row r="20" spans="1:2" ht="15.75" x14ac:dyDescent="0.25">
      <c r="A20" s="236" t="s">
        <v>462</v>
      </c>
      <c r="B20" s="206"/>
    </row>
    <row r="21" spans="1:2" ht="15.75" x14ac:dyDescent="0.25">
      <c r="A21" s="236" t="s">
        <v>463</v>
      </c>
      <c r="B21" s="206"/>
    </row>
    <row r="22" spans="1:2" ht="15.75" x14ac:dyDescent="0.25">
      <c r="A22" s="236" t="s">
        <v>464</v>
      </c>
      <c r="B22" s="206"/>
    </row>
    <row r="23" spans="1:2" ht="15.75" x14ac:dyDescent="0.25">
      <c r="A23" s="236" t="s">
        <v>465</v>
      </c>
      <c r="B23" s="206"/>
    </row>
    <row r="24" spans="1:2" ht="15.75" x14ac:dyDescent="0.25">
      <c r="A24" s="236" t="s">
        <v>466</v>
      </c>
      <c r="B24" s="206"/>
    </row>
    <row r="25" spans="1:2" ht="15.75" x14ac:dyDescent="0.25">
      <c r="A25" s="236" t="s">
        <v>467</v>
      </c>
      <c r="B25" s="234"/>
    </row>
    <row r="26" spans="1:2" ht="15.75" x14ac:dyDescent="0.25">
      <c r="A26" s="236" t="s">
        <v>468</v>
      </c>
      <c r="B26" s="206"/>
    </row>
    <row r="27" spans="1:2" ht="15.75" x14ac:dyDescent="0.25">
      <c r="A27" s="236" t="s">
        <v>469</v>
      </c>
      <c r="B27" s="234"/>
    </row>
    <row r="28" spans="1:2" ht="15.75" x14ac:dyDescent="0.25">
      <c r="A28" s="236" t="s">
        <v>470</v>
      </c>
      <c r="B28" s="206"/>
    </row>
    <row r="29" spans="1:2" ht="15.75" x14ac:dyDescent="0.25">
      <c r="A29" s="236" t="s">
        <v>471</v>
      </c>
      <c r="B29" s="234"/>
    </row>
    <row r="30" spans="1:2" ht="15.75" x14ac:dyDescent="0.25">
      <c r="A30" s="236" t="s">
        <v>472</v>
      </c>
      <c r="B30" s="206"/>
    </row>
    <row r="31" spans="1:2" ht="15.75" x14ac:dyDescent="0.25">
      <c r="A31" s="236" t="s">
        <v>608</v>
      </c>
      <c r="B31" s="234"/>
    </row>
    <row r="32" spans="1:2" ht="15.75" x14ac:dyDescent="0.25">
      <c r="A32" s="236" t="s">
        <v>473</v>
      </c>
      <c r="B32" s="206"/>
    </row>
    <row r="33" spans="1:2" ht="15.75" x14ac:dyDescent="0.25">
      <c r="A33" s="236" t="s">
        <v>474</v>
      </c>
      <c r="B33" s="206"/>
    </row>
    <row r="34" spans="1:2" ht="15.75" x14ac:dyDescent="0.25">
      <c r="A34" s="236" t="s">
        <v>475</v>
      </c>
      <c r="B34" s="206"/>
    </row>
    <row r="35" spans="1:2" ht="15.75" x14ac:dyDescent="0.25">
      <c r="A35" s="236" t="s">
        <v>476</v>
      </c>
      <c r="B35" s="206"/>
    </row>
    <row r="36" spans="1:2" ht="15" customHeight="1" x14ac:dyDescent="0.25">
      <c r="A36" s="236" t="s">
        <v>477</v>
      </c>
      <c r="B36" s="235"/>
    </row>
    <row r="37" spans="1:2" ht="15" customHeight="1" x14ac:dyDescent="0.25">
      <c r="A37" s="236" t="s">
        <v>478</v>
      </c>
      <c r="B37" s="235"/>
    </row>
    <row r="38" spans="1:2" ht="15" customHeight="1" x14ac:dyDescent="0.25">
      <c r="A38" s="236" t="s">
        <v>479</v>
      </c>
      <c r="B38" s="235"/>
    </row>
    <row r="39" spans="1:2" ht="15.75" x14ac:dyDescent="0.25">
      <c r="A39" s="236" t="s">
        <v>480</v>
      </c>
      <c r="B39" s="234"/>
    </row>
    <row r="40" spans="1:2" ht="15.75" x14ac:dyDescent="0.25">
      <c r="A40" s="236" t="s">
        <v>481</v>
      </c>
      <c r="B40" s="206"/>
    </row>
    <row r="41" spans="1:2" ht="15.75" x14ac:dyDescent="0.25">
      <c r="A41" s="236" t="s">
        <v>482</v>
      </c>
      <c r="B41" s="206"/>
    </row>
    <row r="42" spans="1:2" ht="15.75" x14ac:dyDescent="0.25">
      <c r="A42" s="236" t="s">
        <v>483</v>
      </c>
      <c r="B42" s="206"/>
    </row>
    <row r="43" spans="1:2" ht="15.75" x14ac:dyDescent="0.25">
      <c r="A43" s="236" t="s">
        <v>484</v>
      </c>
      <c r="B43" s="234"/>
    </row>
    <row r="44" spans="1:2" ht="15.75" x14ac:dyDescent="0.25">
      <c r="A44" s="236" t="s">
        <v>485</v>
      </c>
      <c r="B44" s="206"/>
    </row>
    <row r="45" spans="1:2" ht="15.75" x14ac:dyDescent="0.25">
      <c r="A45" s="236" t="s">
        <v>585</v>
      </c>
      <c r="B45" s="206"/>
    </row>
    <row r="46" spans="1:2" ht="15.75" x14ac:dyDescent="0.25">
      <c r="A46" s="236" t="s">
        <v>486</v>
      </c>
      <c r="B46" s="206"/>
    </row>
    <row r="47" spans="1:2" ht="15.75" x14ac:dyDescent="0.25">
      <c r="A47" s="236" t="s">
        <v>616</v>
      </c>
      <c r="B47" s="206"/>
    </row>
    <row r="48" spans="1:2" ht="15.75" x14ac:dyDescent="0.25">
      <c r="A48" s="236" t="s">
        <v>487</v>
      </c>
      <c r="B48" s="206"/>
    </row>
    <row r="49" spans="1:2" ht="15.75" x14ac:dyDescent="0.25">
      <c r="A49" s="236" t="s">
        <v>488</v>
      </c>
      <c r="B49" s="234"/>
    </row>
    <row r="50" spans="1:2" ht="15.75" x14ac:dyDescent="0.25">
      <c r="A50" s="236" t="s">
        <v>489</v>
      </c>
      <c r="B50" s="206"/>
    </row>
    <row r="51" spans="1:2" ht="15.75" x14ac:dyDescent="0.25">
      <c r="A51" s="236" t="s">
        <v>490</v>
      </c>
      <c r="B51" s="206"/>
    </row>
    <row r="52" spans="1:2" s="254" customFormat="1" ht="24.95" customHeight="1" x14ac:dyDescent="0.25">
      <c r="A52" s="316" t="s">
        <v>282</v>
      </c>
      <c r="B52" s="339"/>
    </row>
    <row r="55" spans="1:2" x14ac:dyDescent="0.25">
      <c r="A55" s="324" t="s">
        <v>546</v>
      </c>
      <c r="B55" s="324" t="s">
        <v>541</v>
      </c>
    </row>
    <row r="56" spans="1:2" x14ac:dyDescent="0.25">
      <c r="A56" s="324" t="s">
        <v>547</v>
      </c>
      <c r="B56" s="324" t="s">
        <v>548</v>
      </c>
    </row>
  </sheetData>
  <sortState ref="A13:A54">
    <sortCondition ref="A12"/>
  </sortState>
  <mergeCells count="4">
    <mergeCell ref="A1:B1"/>
    <mergeCell ref="A2:B2"/>
    <mergeCell ref="A3:B3"/>
    <mergeCell ref="A9:B9"/>
  </mergeCells>
  <pageMargins left="1" right="0.70866141732283472" top="0.74803149606299213" bottom="0.74803149606299213" header="0.31496062992125984" footer="0.31496062992125984"/>
  <pageSetup paperSize="14" scale="9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opLeftCell="A70" workbookViewId="0">
      <selection activeCell="B58" sqref="B58"/>
    </sheetView>
  </sheetViews>
  <sheetFormatPr baseColWidth="10" defaultRowHeight="15" x14ac:dyDescent="0.25"/>
  <cols>
    <col min="1" max="1" width="67.42578125" customWidth="1"/>
    <col min="2" max="2" width="26.28515625" customWidth="1"/>
  </cols>
  <sheetData>
    <row r="1" spans="1:5" ht="20.100000000000001" customHeight="1" x14ac:dyDescent="0.4">
      <c r="A1" s="379" t="s">
        <v>97</v>
      </c>
      <c r="B1" s="381"/>
      <c r="C1" s="21"/>
      <c r="D1" s="21"/>
    </row>
    <row r="2" spans="1:5" ht="20.100000000000001" customHeight="1" x14ac:dyDescent="0.4">
      <c r="A2" s="382" t="s">
        <v>87</v>
      </c>
      <c r="B2" s="384"/>
      <c r="C2" s="21"/>
      <c r="D2" s="21"/>
    </row>
    <row r="3" spans="1:5" ht="20.100000000000001" customHeight="1" thickBot="1" x14ac:dyDescent="0.45">
      <c r="A3" s="385" t="s">
        <v>289</v>
      </c>
      <c r="B3" s="387"/>
      <c r="C3" s="21"/>
      <c r="D3" s="21"/>
    </row>
    <row r="4" spans="1:5" ht="6.75" customHeight="1" x14ac:dyDescent="0.25">
      <c r="A4" s="210"/>
      <c r="B4" s="210"/>
      <c r="C4" s="22"/>
      <c r="D4" s="22"/>
    </row>
    <row r="5" spans="1:5" ht="15" customHeight="1" x14ac:dyDescent="0.25">
      <c r="A5" s="102" t="s">
        <v>647</v>
      </c>
      <c r="B5" s="2"/>
    </row>
    <row r="6" spans="1:5" ht="15" customHeight="1" x14ac:dyDescent="0.25">
      <c r="A6" s="102" t="s">
        <v>645</v>
      </c>
      <c r="B6" s="9"/>
    </row>
    <row r="7" spans="1:5" ht="15" customHeight="1" x14ac:dyDescent="0.25">
      <c r="A7" s="102" t="s">
        <v>620</v>
      </c>
      <c r="B7" s="9"/>
    </row>
    <row r="8" spans="1:5" ht="24.75" customHeight="1" x14ac:dyDescent="0.25">
      <c r="A8" s="205" t="s">
        <v>640</v>
      </c>
      <c r="B8" s="4"/>
    </row>
    <row r="9" spans="1:5" ht="16.5" customHeight="1" x14ac:dyDescent="0.3">
      <c r="A9" s="395" t="s">
        <v>611</v>
      </c>
      <c r="B9" s="395"/>
      <c r="C9" s="11"/>
      <c r="D9" s="11"/>
      <c r="E9" s="19"/>
    </row>
    <row r="10" spans="1:5" ht="24.95" customHeight="1" x14ac:dyDescent="0.25">
      <c r="A10" s="245" t="s">
        <v>95</v>
      </c>
      <c r="B10" s="245" t="s">
        <v>154</v>
      </c>
    </row>
    <row r="11" spans="1:5" ht="15.75" x14ac:dyDescent="0.25">
      <c r="A11" s="258" t="s">
        <v>304</v>
      </c>
      <c r="B11" s="259"/>
    </row>
    <row r="12" spans="1:5" ht="15.75" x14ac:dyDescent="0.25">
      <c r="A12" s="256" t="s">
        <v>105</v>
      </c>
      <c r="B12" s="256"/>
    </row>
    <row r="13" spans="1:5" ht="15.75" x14ac:dyDescent="0.25">
      <c r="A13" s="258" t="s">
        <v>53</v>
      </c>
      <c r="B13" s="259"/>
    </row>
    <row r="14" spans="1:5" ht="15.75" x14ac:dyDescent="0.25">
      <c r="A14" s="256" t="s">
        <v>108</v>
      </c>
      <c r="B14" s="256"/>
    </row>
    <row r="15" spans="1:5" ht="15.75" x14ac:dyDescent="0.25">
      <c r="A15" s="256" t="s">
        <v>109</v>
      </c>
      <c r="B15" s="256"/>
    </row>
    <row r="16" spans="1:5" ht="15.75" x14ac:dyDescent="0.25">
      <c r="A16" s="258" t="s">
        <v>49</v>
      </c>
      <c r="B16" s="259"/>
    </row>
    <row r="17" spans="1:2" ht="15.75" x14ac:dyDescent="0.25">
      <c r="A17" s="256" t="s">
        <v>107</v>
      </c>
      <c r="B17" s="256"/>
    </row>
    <row r="18" spans="1:2" ht="15.75" x14ac:dyDescent="0.25">
      <c r="A18" s="258" t="s">
        <v>48</v>
      </c>
      <c r="B18" s="259"/>
    </row>
    <row r="19" spans="1:2" ht="15.75" x14ac:dyDescent="0.25">
      <c r="A19" s="256" t="s">
        <v>105</v>
      </c>
      <c r="B19" s="256"/>
    </row>
    <row r="20" spans="1:2" ht="15.75" x14ac:dyDescent="0.25">
      <c r="A20" s="258" t="s">
        <v>52</v>
      </c>
      <c r="B20" s="259"/>
    </row>
    <row r="21" spans="1:2" ht="15.75" x14ac:dyDescent="0.25">
      <c r="A21" s="256" t="s">
        <v>105</v>
      </c>
      <c r="B21" s="256"/>
    </row>
    <row r="22" spans="1:2" ht="15.75" x14ac:dyDescent="0.25">
      <c r="A22" s="258" t="s">
        <v>612</v>
      </c>
      <c r="B22" s="256"/>
    </row>
    <row r="23" spans="1:2" ht="15.75" x14ac:dyDescent="0.25">
      <c r="A23" s="256" t="s">
        <v>40</v>
      </c>
      <c r="B23" s="256"/>
    </row>
    <row r="24" spans="1:2" ht="15.75" x14ac:dyDescent="0.25">
      <c r="A24" s="258" t="s">
        <v>589</v>
      </c>
      <c r="B24" s="256"/>
    </row>
    <row r="25" spans="1:2" ht="15.75" x14ac:dyDescent="0.25">
      <c r="A25" s="256" t="s">
        <v>40</v>
      </c>
      <c r="B25" s="256"/>
    </row>
    <row r="26" spans="1:2" ht="15.75" x14ac:dyDescent="0.25">
      <c r="A26" s="258" t="s">
        <v>51</v>
      </c>
      <c r="B26" s="259"/>
    </row>
    <row r="27" spans="1:2" ht="15.75" x14ac:dyDescent="0.25">
      <c r="A27" s="256" t="s">
        <v>107</v>
      </c>
      <c r="B27" s="256"/>
    </row>
    <row r="28" spans="1:2" ht="15.75" x14ac:dyDescent="0.25">
      <c r="A28" s="258" t="s">
        <v>44</v>
      </c>
      <c r="B28" s="259"/>
    </row>
    <row r="29" spans="1:2" ht="15.75" x14ac:dyDescent="0.25">
      <c r="A29" s="256" t="s">
        <v>105</v>
      </c>
      <c r="B29" s="256"/>
    </row>
    <row r="30" spans="1:2" ht="15.75" x14ac:dyDescent="0.25">
      <c r="A30" s="258" t="s">
        <v>50</v>
      </c>
      <c r="B30" s="259"/>
    </row>
    <row r="31" spans="1:2" ht="15.75" x14ac:dyDescent="0.25">
      <c r="A31" s="256" t="s">
        <v>107</v>
      </c>
      <c r="B31" s="256"/>
    </row>
    <row r="32" spans="1:2" ht="15.75" x14ac:dyDescent="0.25">
      <c r="A32" s="258" t="s">
        <v>42</v>
      </c>
      <c r="B32" s="259"/>
    </row>
    <row r="33" spans="1:2" ht="15.75" x14ac:dyDescent="0.25">
      <c r="A33" s="256" t="s">
        <v>105</v>
      </c>
      <c r="B33" s="256"/>
    </row>
    <row r="34" spans="1:2" ht="15.75" x14ac:dyDescent="0.25">
      <c r="A34" s="256" t="s">
        <v>590</v>
      </c>
      <c r="B34" s="256"/>
    </row>
    <row r="35" spans="1:2" ht="15.75" x14ac:dyDescent="0.25">
      <c r="A35" s="258" t="s">
        <v>45</v>
      </c>
      <c r="B35" s="259"/>
    </row>
    <row r="36" spans="1:2" ht="15.75" x14ac:dyDescent="0.25">
      <c r="A36" s="256" t="s">
        <v>105</v>
      </c>
      <c r="B36" s="256"/>
    </row>
    <row r="37" spans="1:2" ht="15.75" x14ac:dyDescent="0.25">
      <c r="A37" s="256" t="s">
        <v>106</v>
      </c>
      <c r="B37" s="256"/>
    </row>
    <row r="38" spans="1:2" ht="15.75" x14ac:dyDescent="0.25">
      <c r="A38" s="256" t="s">
        <v>84</v>
      </c>
      <c r="B38" s="256"/>
    </row>
    <row r="40" spans="1:2" ht="24.95" customHeight="1" x14ac:dyDescent="0.25">
      <c r="A40" s="245" t="s">
        <v>610</v>
      </c>
      <c r="B40" s="245"/>
    </row>
    <row r="41" spans="1:2" ht="15.75" x14ac:dyDescent="0.25">
      <c r="A41" s="257" t="s">
        <v>58</v>
      </c>
      <c r="B41" s="257"/>
    </row>
    <row r="42" spans="1:2" ht="15.75" x14ac:dyDescent="0.25">
      <c r="A42" s="256" t="s">
        <v>111</v>
      </c>
      <c r="B42" s="256"/>
    </row>
    <row r="43" spans="1:2" ht="15.75" x14ac:dyDescent="0.25">
      <c r="A43" s="256" t="s">
        <v>112</v>
      </c>
      <c r="B43" s="256"/>
    </row>
    <row r="44" spans="1:2" ht="15.75" x14ac:dyDescent="0.25">
      <c r="A44" s="260" t="s">
        <v>133</v>
      </c>
      <c r="B44" s="260"/>
    </row>
    <row r="45" spans="1:2" ht="15.75" x14ac:dyDescent="0.25">
      <c r="A45" s="256" t="s">
        <v>105</v>
      </c>
      <c r="B45" s="256"/>
    </row>
    <row r="46" spans="1:2" ht="15.75" x14ac:dyDescent="0.25">
      <c r="A46" s="260" t="s">
        <v>61</v>
      </c>
      <c r="B46" s="260"/>
    </row>
    <row r="47" spans="1:2" ht="15.75" x14ac:dyDescent="0.25">
      <c r="A47" s="256" t="s">
        <v>105</v>
      </c>
      <c r="B47" s="256"/>
    </row>
    <row r="48" spans="1:2" ht="15.75" x14ac:dyDescent="0.25">
      <c r="A48" s="256" t="s">
        <v>594</v>
      </c>
      <c r="B48" s="256"/>
    </row>
    <row r="49" spans="1:2" ht="15.75" x14ac:dyDescent="0.25">
      <c r="A49" s="258" t="s">
        <v>56</v>
      </c>
      <c r="B49" s="258"/>
    </row>
    <row r="50" spans="1:2" ht="15.75" x14ac:dyDescent="0.25">
      <c r="A50" s="256" t="s">
        <v>105</v>
      </c>
      <c r="B50" s="256"/>
    </row>
    <row r="51" spans="1:2" ht="15.75" x14ac:dyDescent="0.25">
      <c r="A51" s="211" t="s">
        <v>110</v>
      </c>
      <c r="B51" s="211"/>
    </row>
    <row r="52" spans="1:2" ht="15.75" x14ac:dyDescent="0.25">
      <c r="A52" s="255" t="s">
        <v>85</v>
      </c>
      <c r="B52" s="255"/>
    </row>
    <row r="53" spans="1:2" ht="15.75" x14ac:dyDescent="0.25">
      <c r="A53" s="211" t="s">
        <v>113</v>
      </c>
      <c r="B53" s="211"/>
    </row>
    <row r="54" spans="1:2" ht="15.75" x14ac:dyDescent="0.25">
      <c r="A54" s="211" t="s">
        <v>134</v>
      </c>
      <c r="B54" s="211"/>
    </row>
    <row r="55" spans="1:2" ht="15.75" x14ac:dyDescent="0.25">
      <c r="A55" s="255" t="s">
        <v>556</v>
      </c>
      <c r="B55" s="255"/>
    </row>
    <row r="56" spans="1:2" ht="15.75" x14ac:dyDescent="0.25">
      <c r="A56" s="211" t="s">
        <v>557</v>
      </c>
      <c r="B56" s="211"/>
    </row>
    <row r="57" spans="1:2" ht="15.75" x14ac:dyDescent="0.25">
      <c r="A57" s="211" t="s">
        <v>558</v>
      </c>
      <c r="B57" s="211"/>
    </row>
    <row r="58" spans="1:2" ht="15.75" x14ac:dyDescent="0.25">
      <c r="A58" s="211" t="s">
        <v>559</v>
      </c>
      <c r="B58" s="211"/>
    </row>
    <row r="59" spans="1:2" ht="15.75" x14ac:dyDescent="0.25">
      <c r="A59" s="211" t="s">
        <v>560</v>
      </c>
      <c r="B59" s="211"/>
    </row>
    <row r="60" spans="1:2" ht="15.75" x14ac:dyDescent="0.25">
      <c r="A60" s="211" t="s">
        <v>561</v>
      </c>
      <c r="B60" s="211"/>
    </row>
    <row r="61" spans="1:2" ht="15.75" x14ac:dyDescent="0.25">
      <c r="A61" s="211" t="s">
        <v>562</v>
      </c>
      <c r="B61" s="211"/>
    </row>
    <row r="62" spans="1:2" ht="15.75" x14ac:dyDescent="0.25">
      <c r="A62" s="255" t="s">
        <v>591</v>
      </c>
      <c r="B62" s="255"/>
    </row>
    <row r="63" spans="1:2" ht="15.75" x14ac:dyDescent="0.25">
      <c r="A63" s="211" t="s">
        <v>592</v>
      </c>
      <c r="B63" s="211"/>
    </row>
    <row r="64" spans="1:2" ht="15.75" x14ac:dyDescent="0.25">
      <c r="A64" s="211" t="s">
        <v>593</v>
      </c>
      <c r="B64" s="211"/>
    </row>
    <row r="65" spans="1:2" ht="15.75" x14ac:dyDescent="0.25">
      <c r="A65" s="349"/>
      <c r="B65" s="349"/>
    </row>
    <row r="67" spans="1:2" x14ac:dyDescent="0.25">
      <c r="A67" s="324" t="s">
        <v>549</v>
      </c>
      <c r="B67" s="324" t="s">
        <v>126</v>
      </c>
    </row>
    <row r="68" spans="1:2" x14ac:dyDescent="0.25">
      <c r="A68" s="324" t="s">
        <v>550</v>
      </c>
      <c r="B68" s="324" t="s">
        <v>128</v>
      </c>
    </row>
  </sheetData>
  <mergeCells count="4">
    <mergeCell ref="A1:B1"/>
    <mergeCell ref="A2:B2"/>
    <mergeCell ref="A3:B3"/>
    <mergeCell ref="A9:B9"/>
  </mergeCells>
  <pageMargins left="1.03" right="0.70866141732283472" top="0.74803149606299213" bottom="0.74803149606299213" header="0.31496062992125984" footer="0.31496062992125984"/>
  <pageSetup paperSize="14" scale="85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opLeftCell="A67" zoomScale="86" zoomScaleNormal="86" workbookViewId="0">
      <selection activeCell="A7" sqref="A7:B7"/>
    </sheetView>
  </sheetViews>
  <sheetFormatPr baseColWidth="10" defaultRowHeight="15" x14ac:dyDescent="0.25"/>
  <cols>
    <col min="1" max="1" width="11.5703125" customWidth="1"/>
    <col min="2" max="2" width="49" customWidth="1"/>
    <col min="3" max="5" width="25.7109375" customWidth="1"/>
  </cols>
  <sheetData>
    <row r="1" spans="1:6" ht="21.95" customHeight="1" x14ac:dyDescent="0.4">
      <c r="A1" s="389" t="s">
        <v>97</v>
      </c>
      <c r="B1" s="403"/>
      <c r="C1" s="403"/>
      <c r="D1" s="403"/>
      <c r="E1" s="390"/>
      <c r="F1" s="21"/>
    </row>
    <row r="2" spans="1:6" ht="21.95" customHeight="1" x14ac:dyDescent="0.4">
      <c r="A2" s="391" t="s">
        <v>87</v>
      </c>
      <c r="B2" s="402"/>
      <c r="C2" s="402"/>
      <c r="D2" s="402"/>
      <c r="E2" s="392"/>
      <c r="F2" s="21"/>
    </row>
    <row r="3" spans="1:6" ht="21.95" customHeight="1" thickBot="1" x14ac:dyDescent="0.45">
      <c r="A3" s="393" t="s">
        <v>289</v>
      </c>
      <c r="B3" s="405"/>
      <c r="C3" s="405"/>
      <c r="D3" s="405"/>
      <c r="E3" s="394"/>
      <c r="F3" s="21"/>
    </row>
    <row r="4" spans="1:6" x14ac:dyDescent="0.25">
      <c r="A4" s="404" t="s">
        <v>646</v>
      </c>
      <c r="B4" s="404"/>
      <c r="C4" s="9"/>
    </row>
    <row r="5" spans="1:6" x14ac:dyDescent="0.25">
      <c r="A5" s="404" t="s">
        <v>645</v>
      </c>
      <c r="B5" s="404"/>
      <c r="C5" s="9"/>
    </row>
    <row r="6" spans="1:6" x14ac:dyDescent="0.25">
      <c r="A6" s="404" t="s">
        <v>620</v>
      </c>
      <c r="B6" s="404"/>
      <c r="C6" s="9"/>
    </row>
    <row r="7" spans="1:6" ht="18" customHeight="1" x14ac:dyDescent="0.25">
      <c r="A7" s="406" t="s">
        <v>648</v>
      </c>
      <c r="B7" s="406"/>
      <c r="C7" s="204"/>
    </row>
    <row r="8" spans="1:6" ht="17.25" customHeight="1" x14ac:dyDescent="0.25">
      <c r="A8" s="388" t="s">
        <v>571</v>
      </c>
      <c r="B8" s="388"/>
      <c r="C8" s="388"/>
    </row>
    <row r="9" spans="1:6" ht="20.100000000000001" customHeight="1" x14ac:dyDescent="0.25">
      <c r="A9" s="407" t="s">
        <v>565</v>
      </c>
      <c r="B9" s="407"/>
      <c r="C9" s="407"/>
      <c r="D9" s="407"/>
      <c r="E9" s="407"/>
    </row>
    <row r="10" spans="1:6" ht="18" customHeight="1" x14ac:dyDescent="0.25">
      <c r="A10" s="377" t="s">
        <v>136</v>
      </c>
      <c r="B10" s="377"/>
      <c r="C10" s="378" t="s">
        <v>294</v>
      </c>
      <c r="D10" s="378" t="s">
        <v>295</v>
      </c>
      <c r="E10" s="378" t="s">
        <v>305</v>
      </c>
    </row>
    <row r="11" spans="1:6" ht="18" customHeight="1" x14ac:dyDescent="0.25">
      <c r="A11" s="315" t="s">
        <v>453</v>
      </c>
      <c r="B11" s="245" t="s">
        <v>137</v>
      </c>
      <c r="C11" s="378"/>
      <c r="D11" s="378"/>
      <c r="E11" s="378"/>
    </row>
    <row r="12" spans="1:6" ht="24.95" customHeight="1" x14ac:dyDescent="0.25">
      <c r="A12" s="397" t="s">
        <v>448</v>
      </c>
      <c r="B12" s="397"/>
      <c r="C12" s="397"/>
      <c r="D12" s="397"/>
      <c r="E12" s="397"/>
    </row>
    <row r="13" spans="1:6" ht="15.75" x14ac:dyDescent="0.25">
      <c r="A13" s="118"/>
      <c r="B13" s="118"/>
      <c r="C13" s="118"/>
      <c r="D13" s="128"/>
      <c r="E13" s="1"/>
    </row>
    <row r="14" spans="1:6" ht="15.75" x14ac:dyDescent="0.25">
      <c r="A14" s="118"/>
      <c r="B14" s="118"/>
      <c r="C14" s="118"/>
      <c r="D14" s="128"/>
      <c r="E14" s="1"/>
    </row>
    <row r="15" spans="1:6" ht="15.75" x14ac:dyDescent="0.25">
      <c r="A15" s="118"/>
      <c r="B15" s="118"/>
      <c r="C15" s="118"/>
      <c r="D15" s="128"/>
      <c r="E15" s="1"/>
    </row>
    <row r="16" spans="1:6" ht="15.75" x14ac:dyDescent="0.25">
      <c r="A16" s="118"/>
      <c r="B16" s="118"/>
      <c r="C16" s="118"/>
      <c r="D16" s="128"/>
      <c r="E16" s="1"/>
    </row>
    <row r="17" spans="1:5" ht="15.75" x14ac:dyDescent="0.25">
      <c r="A17" s="118"/>
      <c r="B17" s="118"/>
      <c r="C17" s="118"/>
      <c r="D17" s="128"/>
      <c r="E17" s="1"/>
    </row>
    <row r="18" spans="1:5" ht="15.75" x14ac:dyDescent="0.25">
      <c r="A18" s="118"/>
      <c r="B18" s="118"/>
      <c r="C18" s="118"/>
      <c r="D18" s="128"/>
      <c r="E18" s="1"/>
    </row>
    <row r="19" spans="1:5" ht="15" customHeight="1" x14ac:dyDescent="0.25">
      <c r="A19" s="396" t="s">
        <v>563</v>
      </c>
      <c r="B19" s="396"/>
      <c r="C19" s="317">
        <f>SUM(C13:C18)</f>
        <v>0</v>
      </c>
      <c r="D19" s="243">
        <f>SUM(D13:D18)</f>
        <v>0</v>
      </c>
      <c r="E19" s="215">
        <f t="shared" ref="E13:E19" si="0">SUM(C19:D19)</f>
        <v>0</v>
      </c>
    </row>
    <row r="20" spans="1:5" ht="24.95" customHeight="1" x14ac:dyDescent="0.25">
      <c r="A20" s="398" t="s">
        <v>449</v>
      </c>
      <c r="B20" s="398"/>
      <c r="C20" s="398"/>
      <c r="D20" s="398"/>
      <c r="E20" s="398"/>
    </row>
    <row r="21" spans="1:5" ht="15.75" x14ac:dyDescent="0.25">
      <c r="A21" s="118"/>
      <c r="B21" s="118"/>
      <c r="C21" s="118"/>
      <c r="D21" s="128"/>
      <c r="E21" s="1"/>
    </row>
    <row r="22" spans="1:5" ht="15.75" x14ac:dyDescent="0.25">
      <c r="A22" s="118"/>
      <c r="B22" s="118"/>
      <c r="C22" s="118"/>
      <c r="D22" s="128"/>
      <c r="E22" s="1"/>
    </row>
    <row r="23" spans="1:5" ht="15" customHeight="1" x14ac:dyDescent="0.25">
      <c r="A23" s="396" t="s">
        <v>564</v>
      </c>
      <c r="B23" s="396"/>
      <c r="C23" s="317">
        <v>0</v>
      </c>
      <c r="D23" s="243">
        <v>8</v>
      </c>
      <c r="E23" s="215">
        <f>SUM(C23:D23)</f>
        <v>8</v>
      </c>
    </row>
    <row r="24" spans="1:5" ht="24.95" customHeight="1" x14ac:dyDescent="0.25">
      <c r="A24" s="397" t="s">
        <v>569</v>
      </c>
      <c r="B24" s="397"/>
      <c r="C24" s="397"/>
      <c r="D24" s="397"/>
      <c r="E24" s="397"/>
    </row>
    <row r="25" spans="1:5" ht="15.75" x14ac:dyDescent="0.25">
      <c r="A25" s="118"/>
      <c r="B25" s="118"/>
      <c r="C25" s="118"/>
      <c r="D25" s="128"/>
      <c r="E25" s="1"/>
    </row>
    <row r="26" spans="1:5" ht="15.75" x14ac:dyDescent="0.25">
      <c r="A26" s="118"/>
      <c r="B26" s="118"/>
      <c r="C26" s="118"/>
      <c r="D26" s="128"/>
      <c r="E26" s="1"/>
    </row>
    <row r="27" spans="1:5" ht="15" customHeight="1" x14ac:dyDescent="0.25">
      <c r="A27" s="396" t="s">
        <v>570</v>
      </c>
      <c r="B27" s="396"/>
      <c r="C27" s="317"/>
      <c r="D27" s="243"/>
      <c r="E27" s="215"/>
    </row>
    <row r="28" spans="1:5" ht="24.95" customHeight="1" x14ac:dyDescent="0.25">
      <c r="A28" s="397" t="s">
        <v>618</v>
      </c>
      <c r="B28" s="397"/>
      <c r="C28" s="397"/>
      <c r="D28" s="397"/>
      <c r="E28" s="397"/>
    </row>
    <row r="29" spans="1:5" ht="15" customHeight="1" x14ac:dyDescent="0.25">
      <c r="A29" s="118"/>
      <c r="B29" s="118"/>
      <c r="C29" s="118"/>
      <c r="D29" s="128"/>
      <c r="E29" s="1"/>
    </row>
    <row r="30" spans="1:5" ht="15" customHeight="1" x14ac:dyDescent="0.25">
      <c r="A30" s="118"/>
      <c r="B30" s="118"/>
      <c r="C30" s="118"/>
      <c r="D30" s="128"/>
      <c r="E30" s="1"/>
    </row>
    <row r="31" spans="1:5" ht="15" customHeight="1" x14ac:dyDescent="0.25">
      <c r="A31" s="118"/>
      <c r="B31" s="118"/>
      <c r="C31" s="118"/>
      <c r="D31" s="128"/>
      <c r="E31" s="1"/>
    </row>
    <row r="32" spans="1:5" ht="15" customHeight="1" x14ac:dyDescent="0.25">
      <c r="A32" s="396" t="s">
        <v>617</v>
      </c>
      <c r="B32" s="396"/>
      <c r="C32" s="118">
        <f>SUM(C29:C31)</f>
        <v>0</v>
      </c>
      <c r="D32" s="128"/>
      <c r="E32" s="1">
        <f>SUM(C32:D32)</f>
        <v>0</v>
      </c>
    </row>
    <row r="33" spans="1:5" ht="20.100000000000001" customHeight="1" x14ac:dyDescent="0.25">
      <c r="A33" s="407" t="s">
        <v>447</v>
      </c>
      <c r="B33" s="407"/>
      <c r="C33" s="407"/>
      <c r="D33" s="407"/>
      <c r="E33" s="407"/>
    </row>
    <row r="34" spans="1:5" ht="18" customHeight="1" x14ac:dyDescent="0.25">
      <c r="A34" s="377" t="s">
        <v>136</v>
      </c>
      <c r="B34" s="377"/>
      <c r="C34" s="378" t="s">
        <v>566</v>
      </c>
      <c r="D34" s="378" t="s">
        <v>567</v>
      </c>
      <c r="E34" s="409" t="s">
        <v>568</v>
      </c>
    </row>
    <row r="35" spans="1:5" ht="18" customHeight="1" x14ac:dyDescent="0.25">
      <c r="A35" s="315" t="s">
        <v>453</v>
      </c>
      <c r="B35" s="245" t="s">
        <v>137</v>
      </c>
      <c r="C35" s="378"/>
      <c r="D35" s="378"/>
      <c r="E35" s="409"/>
    </row>
    <row r="36" spans="1:5" ht="24.95" customHeight="1" x14ac:dyDescent="0.25">
      <c r="A36" s="397" t="s">
        <v>450</v>
      </c>
      <c r="B36" s="397"/>
      <c r="C36" s="397"/>
      <c r="D36" s="397"/>
      <c r="E36" s="397"/>
    </row>
    <row r="37" spans="1:5" ht="15.75" x14ac:dyDescent="0.25">
      <c r="A37" s="118"/>
      <c r="B37" s="118"/>
      <c r="C37" s="118"/>
      <c r="D37" s="128"/>
      <c r="E37" s="1"/>
    </row>
    <row r="38" spans="1:5" ht="15.75" x14ac:dyDescent="0.25">
      <c r="A38" s="118"/>
      <c r="B38" s="118"/>
      <c r="C38" s="118"/>
      <c r="D38" s="128"/>
      <c r="E38" s="1"/>
    </row>
    <row r="39" spans="1:5" ht="15" customHeight="1" x14ac:dyDescent="0.25">
      <c r="A39" s="396" t="s">
        <v>553</v>
      </c>
      <c r="B39" s="396"/>
      <c r="C39" s="317"/>
      <c r="D39" s="243"/>
      <c r="E39" s="215"/>
    </row>
    <row r="40" spans="1:5" ht="24.95" customHeight="1" x14ac:dyDescent="0.25">
      <c r="A40" s="397" t="s">
        <v>579</v>
      </c>
      <c r="B40" s="397"/>
      <c r="C40" s="397"/>
      <c r="D40" s="397"/>
      <c r="E40" s="397"/>
    </row>
    <row r="41" spans="1:5" ht="15.75" x14ac:dyDescent="0.25">
      <c r="A41" s="118"/>
      <c r="B41" s="118"/>
      <c r="C41" s="118"/>
      <c r="D41" s="128"/>
      <c r="E41" s="1"/>
    </row>
    <row r="42" spans="1:5" ht="15.75" x14ac:dyDescent="0.25">
      <c r="A42" s="118"/>
      <c r="B42" s="118"/>
      <c r="C42" s="118"/>
      <c r="D42" s="128"/>
      <c r="E42" s="1"/>
    </row>
    <row r="43" spans="1:5" ht="15" customHeight="1" x14ac:dyDescent="0.25">
      <c r="A43" s="396" t="s">
        <v>553</v>
      </c>
      <c r="B43" s="396"/>
      <c r="C43" s="317"/>
      <c r="D43" s="243"/>
      <c r="E43" s="215"/>
    </row>
    <row r="44" spans="1:5" ht="24.95" customHeight="1" x14ac:dyDescent="0.25">
      <c r="A44" s="397" t="s">
        <v>578</v>
      </c>
      <c r="B44" s="397"/>
      <c r="C44" s="397"/>
      <c r="D44" s="397"/>
      <c r="E44" s="397"/>
    </row>
    <row r="45" spans="1:5" ht="15.75" x14ac:dyDescent="0.25">
      <c r="A45" s="118"/>
      <c r="B45" s="118"/>
      <c r="C45" s="118"/>
      <c r="D45" s="128"/>
      <c r="E45" s="1"/>
    </row>
    <row r="46" spans="1:5" ht="15.75" x14ac:dyDescent="0.25">
      <c r="A46" s="118"/>
      <c r="B46" s="118"/>
      <c r="C46" s="118"/>
      <c r="D46" s="128"/>
      <c r="E46" s="1"/>
    </row>
    <row r="47" spans="1:5" ht="15" customHeight="1" x14ac:dyDescent="0.25">
      <c r="A47" s="396" t="s">
        <v>553</v>
      </c>
      <c r="B47" s="396"/>
      <c r="C47" s="317"/>
      <c r="D47" s="243"/>
      <c r="E47" s="215"/>
    </row>
    <row r="48" spans="1:5" ht="24.95" customHeight="1" x14ac:dyDescent="0.25">
      <c r="A48" s="397" t="s">
        <v>573</v>
      </c>
      <c r="B48" s="397"/>
      <c r="C48" s="397"/>
      <c r="D48" s="397"/>
      <c r="E48" s="397"/>
    </row>
    <row r="49" spans="1:5" ht="15.75" x14ac:dyDescent="0.25">
      <c r="A49" s="118"/>
      <c r="B49" s="118"/>
      <c r="C49" s="118"/>
      <c r="D49" s="128"/>
      <c r="E49" s="1"/>
    </row>
    <row r="50" spans="1:5" ht="15.75" x14ac:dyDescent="0.25">
      <c r="A50" s="118"/>
      <c r="B50" s="118"/>
      <c r="C50" s="118"/>
      <c r="D50" s="128"/>
      <c r="E50" s="1">
        <v>1</v>
      </c>
    </row>
    <row r="51" spans="1:5" ht="18" x14ac:dyDescent="0.25">
      <c r="A51" s="399" t="s">
        <v>574</v>
      </c>
      <c r="B51" s="400"/>
      <c r="C51" s="400"/>
      <c r="D51" s="400"/>
      <c r="E51" s="40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ht="15.75" x14ac:dyDescent="0.25">
      <c r="A54" s="396" t="s">
        <v>553</v>
      </c>
      <c r="B54" s="396"/>
      <c r="C54" s="317"/>
      <c r="D54" s="243"/>
      <c r="E54" s="215"/>
    </row>
    <row r="55" spans="1:5" ht="24.95" customHeight="1" x14ac:dyDescent="0.25">
      <c r="A55" s="397" t="s">
        <v>575</v>
      </c>
      <c r="B55" s="397"/>
      <c r="C55" s="397"/>
      <c r="D55" s="397"/>
      <c r="E55" s="397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ht="15" customHeight="1" x14ac:dyDescent="0.25">
      <c r="A58" s="396" t="s">
        <v>553</v>
      </c>
      <c r="B58" s="396"/>
      <c r="C58" s="317"/>
      <c r="D58" s="243"/>
      <c r="E58" s="215"/>
    </row>
    <row r="59" spans="1:5" ht="24.95" customHeight="1" x14ac:dyDescent="0.25">
      <c r="A59" s="397" t="s">
        <v>576</v>
      </c>
      <c r="B59" s="397"/>
      <c r="C59" s="397"/>
      <c r="D59" s="397"/>
      <c r="E59" s="397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ht="15" customHeight="1" x14ac:dyDescent="0.25">
      <c r="A62" s="396" t="s">
        <v>553</v>
      </c>
      <c r="B62" s="396"/>
      <c r="C62" s="317"/>
      <c r="D62" s="243"/>
      <c r="E62" s="215"/>
    </row>
    <row r="63" spans="1:5" ht="24.95" customHeight="1" x14ac:dyDescent="0.25">
      <c r="A63" s="397" t="s">
        <v>577</v>
      </c>
      <c r="B63" s="397"/>
      <c r="C63" s="397"/>
      <c r="D63" s="397"/>
      <c r="E63" s="397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ht="15" customHeight="1" x14ac:dyDescent="0.25">
      <c r="A66" s="396" t="s">
        <v>553</v>
      </c>
      <c r="B66" s="396"/>
      <c r="C66" s="317"/>
      <c r="D66" s="243"/>
      <c r="E66" s="215"/>
    </row>
    <row r="67" spans="1:5" ht="24.95" customHeight="1" x14ac:dyDescent="0.25">
      <c r="A67" s="397" t="s">
        <v>452</v>
      </c>
      <c r="B67" s="397"/>
      <c r="C67" s="397"/>
      <c r="D67" s="397"/>
      <c r="E67" s="397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ht="15" customHeight="1" x14ac:dyDescent="0.25">
      <c r="A70" s="396" t="s">
        <v>553</v>
      </c>
      <c r="B70" s="396"/>
      <c r="C70" s="317"/>
      <c r="D70" s="243"/>
      <c r="E70" s="215"/>
    </row>
    <row r="71" spans="1:5" ht="24.95" customHeight="1" x14ac:dyDescent="0.25">
      <c r="A71" s="397" t="s">
        <v>451</v>
      </c>
      <c r="B71" s="397"/>
      <c r="C71" s="397"/>
      <c r="D71" s="397"/>
      <c r="E71" s="397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ht="15" customHeight="1" x14ac:dyDescent="0.25">
      <c r="A74" s="396" t="s">
        <v>553</v>
      </c>
      <c r="B74" s="396"/>
      <c r="C74" s="368"/>
      <c r="D74" s="243"/>
      <c r="E74" s="215"/>
    </row>
    <row r="75" spans="1:5" ht="24.95" customHeight="1" x14ac:dyDescent="0.25">
      <c r="A75" s="397" t="s">
        <v>484</v>
      </c>
      <c r="B75" s="397"/>
      <c r="C75" s="397"/>
      <c r="D75" s="397"/>
      <c r="E75" s="397"/>
    </row>
    <row r="76" spans="1:5" ht="15.75" x14ac:dyDescent="0.25">
      <c r="A76" s="118"/>
      <c r="B76" s="118"/>
      <c r="C76" s="1"/>
      <c r="D76" s="1"/>
      <c r="E76" s="1"/>
    </row>
    <row r="77" spans="1:5" ht="15.75" x14ac:dyDescent="0.25">
      <c r="A77" s="118"/>
      <c r="B77" s="118"/>
      <c r="C77" s="1"/>
      <c r="D77" s="1"/>
      <c r="E77" s="1"/>
    </row>
    <row r="78" spans="1:5" ht="15" customHeight="1" x14ac:dyDescent="0.25">
      <c r="A78" s="396" t="s">
        <v>553</v>
      </c>
      <c r="B78" s="396"/>
      <c r="C78" s="368"/>
      <c r="D78" s="243"/>
      <c r="E78" s="215"/>
    </row>
    <row r="79" spans="1:5" ht="24.95" customHeight="1" x14ac:dyDescent="0.25">
      <c r="A79" s="397" t="s">
        <v>485</v>
      </c>
      <c r="B79" s="397"/>
      <c r="C79" s="397"/>
      <c r="D79" s="397"/>
      <c r="E79" s="397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ht="15" customHeight="1" x14ac:dyDescent="0.25">
      <c r="A82" s="396" t="s">
        <v>553</v>
      </c>
      <c r="B82" s="396"/>
      <c r="C82" s="368"/>
      <c r="D82" s="243"/>
      <c r="E82" s="215"/>
    </row>
    <row r="83" spans="1:5" ht="24.95" customHeight="1" x14ac:dyDescent="0.25">
      <c r="A83" s="397" t="s">
        <v>572</v>
      </c>
      <c r="B83" s="397"/>
      <c r="C83" s="397"/>
      <c r="D83" s="397"/>
      <c r="E83" s="397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ht="15" customHeight="1" x14ac:dyDescent="0.25">
      <c r="A86" s="396" t="s">
        <v>553</v>
      </c>
      <c r="B86" s="396"/>
      <c r="C86" s="317"/>
      <c r="D86" s="243"/>
      <c r="E86" s="215"/>
    </row>
    <row r="87" spans="1:5" ht="18" customHeight="1" x14ac:dyDescent="0.25"/>
    <row r="92" spans="1:5" x14ac:dyDescent="0.25">
      <c r="A92" s="408" t="s">
        <v>288</v>
      </c>
      <c r="B92" s="408"/>
      <c r="C92" s="324" t="s">
        <v>126</v>
      </c>
    </row>
    <row r="93" spans="1:5" x14ac:dyDescent="0.25">
      <c r="A93" s="408" t="s">
        <v>127</v>
      </c>
      <c r="B93" s="408"/>
      <c r="C93" s="324" t="s">
        <v>128</v>
      </c>
    </row>
  </sheetData>
  <mergeCells count="53">
    <mergeCell ref="A92:B92"/>
    <mergeCell ref="A93:B93"/>
    <mergeCell ref="A54:B54"/>
    <mergeCell ref="A23:B23"/>
    <mergeCell ref="A27:B27"/>
    <mergeCell ref="A48:E48"/>
    <mergeCell ref="A33:E33"/>
    <mergeCell ref="A34:B34"/>
    <mergeCell ref="C34:C35"/>
    <mergeCell ref="D34:D35"/>
    <mergeCell ref="E34:E35"/>
    <mergeCell ref="A63:E63"/>
    <mergeCell ref="A67:E67"/>
    <mergeCell ref="A47:B47"/>
    <mergeCell ref="A24:E24"/>
    <mergeCell ref="A36:E36"/>
    <mergeCell ref="A2:E2"/>
    <mergeCell ref="A1:E1"/>
    <mergeCell ref="C10:C11"/>
    <mergeCell ref="A10:B10"/>
    <mergeCell ref="A6:B6"/>
    <mergeCell ref="A3:E3"/>
    <mergeCell ref="A7:B7"/>
    <mergeCell ref="A4:B4"/>
    <mergeCell ref="A5:B5"/>
    <mergeCell ref="E10:E11"/>
    <mergeCell ref="A8:C8"/>
    <mergeCell ref="A9:E9"/>
    <mergeCell ref="D10:D11"/>
    <mergeCell ref="A12:E12"/>
    <mergeCell ref="A20:E20"/>
    <mergeCell ref="A51:E51"/>
    <mergeCell ref="A55:E55"/>
    <mergeCell ref="A59:E59"/>
    <mergeCell ref="A58:B58"/>
    <mergeCell ref="A19:B19"/>
    <mergeCell ref="A39:B39"/>
    <mergeCell ref="A43:B43"/>
    <mergeCell ref="A40:E40"/>
    <mergeCell ref="A44:E44"/>
    <mergeCell ref="A28:E28"/>
    <mergeCell ref="A32:B32"/>
    <mergeCell ref="A82:B82"/>
    <mergeCell ref="A86:B86"/>
    <mergeCell ref="A71:E71"/>
    <mergeCell ref="A75:E75"/>
    <mergeCell ref="A79:E79"/>
    <mergeCell ref="A83:E83"/>
    <mergeCell ref="A62:B62"/>
    <mergeCell ref="A66:B66"/>
    <mergeCell ref="A70:B70"/>
    <mergeCell ref="A74:B74"/>
    <mergeCell ref="A78:B78"/>
  </mergeCells>
  <pageMargins left="1.05" right="0.70866141732283472" top="0.74803149606299213" bottom="0.74803149606299213" header="0.31496062992125984" footer="0.31496062992125984"/>
  <pageSetup paperSize="14" scale="55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8"/>
  <sheetViews>
    <sheetView topLeftCell="A10" workbookViewId="0">
      <selection activeCell="B8" sqref="B8:C8"/>
    </sheetView>
  </sheetViews>
  <sheetFormatPr baseColWidth="10" defaultColWidth="11.5703125" defaultRowHeight="15" x14ac:dyDescent="0.25"/>
  <cols>
    <col min="1" max="1" width="5" customWidth="1"/>
    <col min="2" max="2" width="20.7109375" customWidth="1"/>
    <col min="3" max="3" width="44.85546875" customWidth="1"/>
    <col min="4" max="4" width="29.7109375" customWidth="1"/>
  </cols>
  <sheetData>
    <row r="1" spans="2:4" ht="20.100000000000001" customHeight="1" x14ac:dyDescent="0.25">
      <c r="B1" s="389" t="s">
        <v>97</v>
      </c>
      <c r="C1" s="403"/>
      <c r="D1" s="390"/>
    </row>
    <row r="2" spans="2:4" ht="20.100000000000001" customHeight="1" x14ac:dyDescent="0.25">
      <c r="B2" s="391" t="s">
        <v>87</v>
      </c>
      <c r="C2" s="402"/>
      <c r="D2" s="392"/>
    </row>
    <row r="3" spans="2:4" ht="20.100000000000001" customHeight="1" thickBot="1" x14ac:dyDescent="0.3">
      <c r="B3" s="393" t="s">
        <v>289</v>
      </c>
      <c r="C3" s="405"/>
      <c r="D3" s="394"/>
    </row>
    <row r="4" spans="2:4" ht="20.100000000000001" customHeight="1" x14ac:dyDescent="0.25">
      <c r="B4" s="210"/>
      <c r="C4" s="210"/>
      <c r="D4" s="210"/>
    </row>
    <row r="5" spans="2:4" ht="15" customHeight="1" x14ac:dyDescent="0.25">
      <c r="B5" s="404" t="s">
        <v>647</v>
      </c>
      <c r="C5" s="404"/>
    </row>
    <row r="6" spans="2:4" ht="15" customHeight="1" x14ac:dyDescent="0.25">
      <c r="B6" s="404" t="s">
        <v>645</v>
      </c>
      <c r="C6" s="404"/>
    </row>
    <row r="7" spans="2:4" ht="15" customHeight="1" x14ac:dyDescent="0.25">
      <c r="B7" s="404" t="s">
        <v>620</v>
      </c>
      <c r="C7" s="404"/>
    </row>
    <row r="8" spans="2:4" ht="21.75" customHeight="1" x14ac:dyDescent="0.25">
      <c r="B8" s="406" t="s">
        <v>649</v>
      </c>
      <c r="C8" s="406"/>
    </row>
    <row r="9" spans="2:4" ht="16.5" customHeight="1" x14ac:dyDescent="0.25">
      <c r="B9" s="412" t="s">
        <v>596</v>
      </c>
      <c r="C9" s="412"/>
    </row>
    <row r="10" spans="2:4" ht="30" customHeight="1" x14ac:dyDescent="0.25">
      <c r="B10" s="377" t="s">
        <v>595</v>
      </c>
      <c r="C10" s="377"/>
      <c r="D10" s="410" t="s">
        <v>613</v>
      </c>
    </row>
    <row r="11" spans="2:4" s="2" customFormat="1" ht="15" customHeight="1" x14ac:dyDescent="0.2">
      <c r="B11" s="348" t="s">
        <v>306</v>
      </c>
      <c r="C11" s="348" t="s">
        <v>537</v>
      </c>
      <c r="D11" s="411"/>
    </row>
    <row r="12" spans="2:4" ht="15" customHeight="1" x14ac:dyDescent="0.25">
      <c r="B12" s="34"/>
      <c r="C12" s="240"/>
      <c r="D12" s="1"/>
    </row>
    <row r="13" spans="2:4" ht="15" customHeight="1" x14ac:dyDescent="0.25">
      <c r="B13" s="361"/>
      <c r="C13" s="240"/>
      <c r="D13" s="1"/>
    </row>
    <row r="14" spans="2:4" ht="15" customHeight="1" x14ac:dyDescent="0.25">
      <c r="B14" s="361"/>
      <c r="C14" s="240"/>
      <c r="D14" s="1"/>
    </row>
    <row r="15" spans="2:4" ht="15" customHeight="1" x14ac:dyDescent="0.25">
      <c r="B15" s="361"/>
      <c r="C15" s="241"/>
      <c r="D15" s="1"/>
    </row>
    <row r="16" spans="2:4" ht="15" customHeight="1" x14ac:dyDescent="0.25">
      <c r="B16" s="361"/>
      <c r="C16" s="241"/>
      <c r="D16" s="1"/>
    </row>
    <row r="17" spans="2:4" ht="15" customHeight="1" x14ac:dyDescent="0.25">
      <c r="B17" s="365"/>
      <c r="C17" s="241"/>
      <c r="D17" s="366"/>
    </row>
    <row r="18" spans="2:4" ht="15" customHeight="1" x14ac:dyDescent="0.25">
      <c r="B18" s="367"/>
      <c r="C18" s="241"/>
      <c r="D18" s="366"/>
    </row>
    <row r="19" spans="2:4" ht="15" customHeight="1" x14ac:dyDescent="0.25">
      <c r="B19" s="361"/>
      <c r="C19" s="191"/>
      <c r="D19" s="1"/>
    </row>
    <row r="20" spans="2:4" ht="15" customHeight="1" x14ac:dyDescent="0.25">
      <c r="B20" s="361"/>
      <c r="C20" s="191"/>
      <c r="D20" s="1"/>
    </row>
    <row r="21" spans="2:4" ht="15" customHeight="1" x14ac:dyDescent="0.25">
      <c r="B21" s="361"/>
      <c r="C21" s="191"/>
      <c r="D21" s="1"/>
    </row>
    <row r="22" spans="2:4" ht="15" customHeight="1" x14ac:dyDescent="0.25">
      <c r="B22" s="361"/>
      <c r="C22" s="191"/>
      <c r="D22" s="1"/>
    </row>
    <row r="23" spans="2:4" ht="15" customHeight="1" x14ac:dyDescent="0.25">
      <c r="B23" s="361"/>
      <c r="C23" s="191"/>
      <c r="D23" s="1"/>
    </row>
    <row r="24" spans="2:4" ht="15" customHeight="1" x14ac:dyDescent="0.25">
      <c r="B24" s="34"/>
      <c r="C24" s="191"/>
      <c r="D24" s="1"/>
    </row>
    <row r="25" spans="2:4" ht="15" customHeight="1" x14ac:dyDescent="0.25">
      <c r="B25" s="361"/>
      <c r="C25" s="191"/>
      <c r="D25" s="1"/>
    </row>
    <row r="26" spans="2:4" ht="15" customHeight="1" x14ac:dyDescent="0.25">
      <c r="B26" s="361"/>
      <c r="C26" s="191"/>
      <c r="D26" s="1"/>
    </row>
    <row r="27" spans="2:4" ht="15" customHeight="1" x14ac:dyDescent="0.25">
      <c r="B27" s="361"/>
      <c r="C27" s="191"/>
      <c r="D27" s="1"/>
    </row>
    <row r="28" spans="2:4" ht="15" customHeight="1" x14ac:dyDescent="0.25">
      <c r="B28" s="361"/>
      <c r="C28" s="191"/>
      <c r="D28" s="1"/>
    </row>
    <row r="29" spans="2:4" ht="15" customHeight="1" x14ac:dyDescent="0.25">
      <c r="B29" s="361"/>
      <c r="C29" s="191"/>
      <c r="D29" s="1"/>
    </row>
    <row r="30" spans="2:4" ht="15" customHeight="1" x14ac:dyDescent="0.25">
      <c r="B30" s="361"/>
      <c r="C30" s="191"/>
      <c r="D30" s="1"/>
    </row>
    <row r="31" spans="2:4" ht="24.95" customHeight="1" x14ac:dyDescent="0.25">
      <c r="B31" s="415" t="s">
        <v>598</v>
      </c>
      <c r="C31" s="415"/>
      <c r="D31" s="202">
        <f>SUM(D12:D30)</f>
        <v>0</v>
      </c>
    </row>
    <row r="32" spans="2:4" ht="24.95" customHeight="1" x14ac:dyDescent="0.25">
      <c r="B32" s="377" t="s">
        <v>293</v>
      </c>
      <c r="C32" s="377"/>
      <c r="D32" s="416" t="s">
        <v>614</v>
      </c>
    </row>
    <row r="33" spans="2:4" ht="15" customHeight="1" thickBot="1" x14ac:dyDescent="0.3">
      <c r="B33" s="348" t="s">
        <v>306</v>
      </c>
      <c r="C33" s="348" t="s">
        <v>537</v>
      </c>
      <c r="D33" s="417"/>
    </row>
    <row r="34" spans="2:4" ht="15" customHeight="1" thickBot="1" x14ac:dyDescent="0.3">
      <c r="B34" s="34"/>
      <c r="C34" s="191"/>
      <c r="D34" s="363"/>
    </row>
    <row r="35" spans="2:4" ht="15" customHeight="1" thickBot="1" x14ac:dyDescent="0.3">
      <c r="B35" s="361"/>
      <c r="C35" s="191"/>
      <c r="D35" s="364"/>
    </row>
    <row r="36" spans="2:4" ht="15" customHeight="1" thickBot="1" x14ac:dyDescent="0.3">
      <c r="B36" s="361"/>
      <c r="C36" s="191"/>
      <c r="D36" s="364"/>
    </row>
    <row r="37" spans="2:4" ht="15" customHeight="1" thickBot="1" x14ac:dyDescent="0.3">
      <c r="B37" s="361"/>
      <c r="C37" s="191"/>
      <c r="D37" s="364"/>
    </row>
    <row r="38" spans="2:4" ht="15" customHeight="1" thickBot="1" x14ac:dyDescent="0.3">
      <c r="B38" s="361"/>
      <c r="C38" s="191"/>
      <c r="D38" s="364"/>
    </row>
    <row r="39" spans="2:4" ht="15" customHeight="1" thickBot="1" x14ac:dyDescent="0.3">
      <c r="B39" s="361"/>
      <c r="C39" s="191"/>
      <c r="D39" s="364"/>
    </row>
    <row r="40" spans="2:4" ht="15" customHeight="1" thickBot="1" x14ac:dyDescent="0.3">
      <c r="B40" s="361"/>
      <c r="C40" s="191"/>
      <c r="D40" s="364"/>
    </row>
    <row r="41" spans="2:4" ht="15" customHeight="1" thickBot="1" x14ac:dyDescent="0.3">
      <c r="B41" s="361"/>
      <c r="C41" s="191"/>
      <c r="D41" s="364"/>
    </row>
    <row r="42" spans="2:4" ht="15" customHeight="1" thickBot="1" x14ac:dyDescent="0.3">
      <c r="B42" s="361"/>
      <c r="C42" s="191"/>
      <c r="D42" s="364"/>
    </row>
    <row r="43" spans="2:4" ht="15" customHeight="1" thickBot="1" x14ac:dyDescent="0.3">
      <c r="B43" s="361"/>
      <c r="C43" s="191"/>
      <c r="D43" s="364"/>
    </row>
    <row r="44" spans="2:4" ht="15" customHeight="1" thickBot="1" x14ac:dyDescent="0.3">
      <c r="B44" s="361"/>
      <c r="C44" s="191"/>
      <c r="D44" s="364"/>
    </row>
    <row r="45" spans="2:4" ht="15" customHeight="1" thickBot="1" x14ac:dyDescent="0.3">
      <c r="B45" s="361"/>
      <c r="C45" s="191"/>
      <c r="D45" s="364"/>
    </row>
    <row r="46" spans="2:4" ht="15" customHeight="1" thickBot="1" x14ac:dyDescent="0.3">
      <c r="B46" s="361"/>
      <c r="C46" s="191"/>
      <c r="D46" s="364"/>
    </row>
    <row r="47" spans="2:4" ht="15" customHeight="1" thickBot="1" x14ac:dyDescent="0.3">
      <c r="B47" s="361"/>
      <c r="C47" s="191"/>
      <c r="D47" s="364"/>
    </row>
    <row r="48" spans="2:4" ht="15" customHeight="1" thickBot="1" x14ac:dyDescent="0.3">
      <c r="B48" s="361"/>
      <c r="C48" s="191"/>
      <c r="D48" s="364"/>
    </row>
    <row r="49" spans="2:4" ht="15" customHeight="1" thickBot="1" x14ac:dyDescent="0.3">
      <c r="B49" s="361"/>
      <c r="C49" s="191"/>
      <c r="D49" s="364"/>
    </row>
    <row r="50" spans="2:4" ht="15" customHeight="1" thickBot="1" x14ac:dyDescent="0.3">
      <c r="B50" s="361"/>
      <c r="C50" s="191"/>
      <c r="D50" s="364"/>
    </row>
    <row r="51" spans="2:4" ht="15" customHeight="1" thickBot="1" x14ac:dyDescent="0.3">
      <c r="B51" s="361"/>
      <c r="C51" s="191"/>
      <c r="D51" s="364"/>
    </row>
    <row r="52" spans="2:4" ht="15" customHeight="1" thickBot="1" x14ac:dyDescent="0.3">
      <c r="B52" s="361"/>
      <c r="C52" s="191"/>
      <c r="D52" s="364"/>
    </row>
    <row r="53" spans="2:4" ht="15" customHeight="1" thickBot="1" x14ac:dyDescent="0.3">
      <c r="B53" s="34"/>
      <c r="C53" s="191"/>
      <c r="D53" s="364"/>
    </row>
    <row r="54" spans="2:4" ht="15" customHeight="1" thickBot="1" x14ac:dyDescent="0.3">
      <c r="B54" s="34"/>
      <c r="C54" s="191"/>
      <c r="D54" s="364"/>
    </row>
    <row r="55" spans="2:4" ht="15" customHeight="1" thickBot="1" x14ac:dyDescent="0.3">
      <c r="B55" s="34"/>
      <c r="C55" s="191"/>
      <c r="D55" s="364"/>
    </row>
    <row r="56" spans="2:4" ht="15" customHeight="1" thickBot="1" x14ac:dyDescent="0.3">
      <c r="B56" s="34"/>
      <c r="C56" s="191"/>
      <c r="D56" s="364"/>
    </row>
    <row r="57" spans="2:4" ht="15" customHeight="1" thickBot="1" x14ac:dyDescent="0.3">
      <c r="B57" s="361"/>
      <c r="C57" s="191"/>
      <c r="D57" s="364"/>
    </row>
    <row r="58" spans="2:4" ht="15" customHeight="1" thickBot="1" x14ac:dyDescent="0.3">
      <c r="B58" s="361"/>
      <c r="C58" s="191"/>
      <c r="D58" s="364"/>
    </row>
    <row r="59" spans="2:4" ht="15" customHeight="1" thickBot="1" x14ac:dyDescent="0.3">
      <c r="B59" s="361"/>
      <c r="C59" s="191"/>
      <c r="D59" s="364"/>
    </row>
    <row r="60" spans="2:4" ht="15" customHeight="1" thickBot="1" x14ac:dyDescent="0.3">
      <c r="B60" s="361"/>
      <c r="C60" s="191"/>
      <c r="D60" s="364"/>
    </row>
    <row r="61" spans="2:4" ht="15" customHeight="1" thickBot="1" x14ac:dyDescent="0.3">
      <c r="B61" s="361"/>
      <c r="C61" s="191"/>
      <c r="D61" s="364"/>
    </row>
    <row r="62" spans="2:4" ht="15" customHeight="1" thickBot="1" x14ac:dyDescent="0.3">
      <c r="B62" s="361"/>
      <c r="C62" s="191"/>
      <c r="D62" s="364"/>
    </row>
    <row r="63" spans="2:4" ht="15" customHeight="1" thickBot="1" x14ac:dyDescent="0.3">
      <c r="B63" s="361"/>
      <c r="C63" s="191"/>
      <c r="D63" s="364"/>
    </row>
    <row r="64" spans="2:4" ht="15" customHeight="1" thickBot="1" x14ac:dyDescent="0.3">
      <c r="B64" s="361"/>
      <c r="C64" s="191"/>
      <c r="D64" s="364"/>
    </row>
    <row r="65" spans="2:4" ht="15" customHeight="1" thickBot="1" x14ac:dyDescent="0.3">
      <c r="B65" s="34"/>
      <c r="C65" s="194"/>
      <c r="D65" s="364"/>
    </row>
    <row r="66" spans="2:4" ht="15" customHeight="1" thickBot="1" x14ac:dyDescent="0.3">
      <c r="B66" s="34"/>
      <c r="C66" s="194"/>
      <c r="D66" s="364"/>
    </row>
    <row r="67" spans="2:4" ht="15" customHeight="1" thickBot="1" x14ac:dyDescent="0.3">
      <c r="B67" s="361"/>
      <c r="C67" s="194"/>
      <c r="D67" s="364"/>
    </row>
    <row r="68" spans="2:4" ht="15" customHeight="1" thickBot="1" x14ac:dyDescent="0.3">
      <c r="B68" s="361"/>
      <c r="C68" s="194"/>
      <c r="D68" s="364"/>
    </row>
    <row r="69" spans="2:4" ht="15" customHeight="1" thickBot="1" x14ac:dyDescent="0.3">
      <c r="B69" s="361"/>
      <c r="C69" s="194"/>
      <c r="D69" s="364"/>
    </row>
    <row r="70" spans="2:4" ht="15" customHeight="1" thickBot="1" x14ac:dyDescent="0.3">
      <c r="B70" s="361"/>
      <c r="C70" s="194"/>
      <c r="D70" s="364"/>
    </row>
    <row r="71" spans="2:4" ht="15" customHeight="1" thickBot="1" x14ac:dyDescent="0.3">
      <c r="B71" s="361"/>
      <c r="C71" s="194"/>
      <c r="D71" s="364"/>
    </row>
    <row r="72" spans="2:4" ht="15" customHeight="1" thickBot="1" x14ac:dyDescent="0.3">
      <c r="B72" s="361"/>
      <c r="C72" s="194"/>
      <c r="D72" s="364"/>
    </row>
    <row r="73" spans="2:4" ht="15" customHeight="1" thickBot="1" x14ac:dyDescent="0.3">
      <c r="B73" s="361"/>
      <c r="C73" s="194"/>
      <c r="D73" s="364"/>
    </row>
    <row r="74" spans="2:4" ht="15" customHeight="1" thickBot="1" x14ac:dyDescent="0.3">
      <c r="B74" s="361"/>
      <c r="C74" s="194"/>
      <c r="D74" s="364"/>
    </row>
    <row r="75" spans="2:4" ht="15" customHeight="1" thickBot="1" x14ac:dyDescent="0.3">
      <c r="B75" s="361"/>
      <c r="C75" s="194"/>
      <c r="D75" s="364"/>
    </row>
    <row r="76" spans="2:4" ht="15" customHeight="1" thickBot="1" x14ac:dyDescent="0.3">
      <c r="B76" s="361"/>
      <c r="C76" s="194"/>
      <c r="D76" s="364"/>
    </row>
    <row r="77" spans="2:4" ht="15" customHeight="1" thickBot="1" x14ac:dyDescent="0.3">
      <c r="B77" s="361"/>
      <c r="C77" s="194"/>
      <c r="D77" s="364"/>
    </row>
    <row r="78" spans="2:4" ht="15" customHeight="1" thickBot="1" x14ac:dyDescent="0.3">
      <c r="B78" s="361"/>
      <c r="C78" s="194"/>
      <c r="D78" s="364"/>
    </row>
    <row r="79" spans="2:4" ht="15" customHeight="1" thickBot="1" x14ac:dyDescent="0.3">
      <c r="B79" s="361"/>
      <c r="C79" s="194"/>
      <c r="D79" s="364"/>
    </row>
    <row r="80" spans="2:4" ht="15" customHeight="1" thickBot="1" x14ac:dyDescent="0.3">
      <c r="B80" s="361"/>
      <c r="C80" s="194"/>
      <c r="D80" s="364"/>
    </row>
    <row r="81" spans="2:4" ht="15" customHeight="1" thickBot="1" x14ac:dyDescent="0.3">
      <c r="B81" s="361"/>
      <c r="C81" s="194"/>
      <c r="D81" s="364"/>
    </row>
    <row r="82" spans="2:4" ht="15" customHeight="1" thickBot="1" x14ac:dyDescent="0.3">
      <c r="B82" s="361"/>
      <c r="C82" s="194"/>
      <c r="D82" s="364"/>
    </row>
    <row r="83" spans="2:4" ht="15" customHeight="1" thickBot="1" x14ac:dyDescent="0.3">
      <c r="B83" s="361"/>
      <c r="C83" s="194"/>
      <c r="D83" s="364"/>
    </row>
    <row r="84" spans="2:4" ht="15" customHeight="1" thickBot="1" x14ac:dyDescent="0.3">
      <c r="B84" s="361"/>
      <c r="C84" s="194"/>
      <c r="D84" s="364"/>
    </row>
    <row r="85" spans="2:4" ht="15" customHeight="1" thickBot="1" x14ac:dyDescent="0.3">
      <c r="B85" s="361"/>
      <c r="C85" s="194"/>
      <c r="D85" s="364"/>
    </row>
    <row r="86" spans="2:4" ht="15" customHeight="1" thickBot="1" x14ac:dyDescent="0.3">
      <c r="B86" s="361"/>
      <c r="C86" s="194"/>
      <c r="D86" s="364"/>
    </row>
    <row r="87" spans="2:4" ht="15" customHeight="1" thickBot="1" x14ac:dyDescent="0.3">
      <c r="B87" s="361"/>
      <c r="C87" s="194"/>
      <c r="D87" s="364"/>
    </row>
    <row r="88" spans="2:4" ht="15" customHeight="1" thickBot="1" x14ac:dyDescent="0.3">
      <c r="B88" s="361"/>
      <c r="C88" s="194"/>
      <c r="D88" s="364"/>
    </row>
    <row r="89" spans="2:4" ht="15" customHeight="1" thickBot="1" x14ac:dyDescent="0.3">
      <c r="B89" s="361"/>
      <c r="C89" s="194"/>
      <c r="D89" s="364"/>
    </row>
    <row r="90" spans="2:4" ht="15" customHeight="1" thickBot="1" x14ac:dyDescent="0.3">
      <c r="B90" s="361"/>
      <c r="C90" s="194"/>
      <c r="D90" s="364"/>
    </row>
    <row r="91" spans="2:4" ht="15" customHeight="1" thickBot="1" x14ac:dyDescent="0.3">
      <c r="B91" s="361"/>
      <c r="C91" s="194"/>
      <c r="D91" s="364"/>
    </row>
    <row r="92" spans="2:4" ht="15" customHeight="1" thickBot="1" x14ac:dyDescent="0.3">
      <c r="B92" s="361"/>
      <c r="C92" s="194"/>
      <c r="D92" s="364"/>
    </row>
    <row r="93" spans="2:4" ht="15" customHeight="1" thickBot="1" x14ac:dyDescent="0.3">
      <c r="B93" s="361"/>
      <c r="C93" s="194"/>
      <c r="D93" s="364"/>
    </row>
    <row r="94" spans="2:4" ht="15" customHeight="1" thickBot="1" x14ac:dyDescent="0.3">
      <c r="B94" s="361"/>
      <c r="C94" s="194"/>
      <c r="D94" s="364"/>
    </row>
    <row r="95" spans="2:4" ht="15" customHeight="1" thickBot="1" x14ac:dyDescent="0.3">
      <c r="B95" s="361"/>
      <c r="C95" s="194"/>
      <c r="D95" s="364"/>
    </row>
    <row r="96" spans="2:4" ht="15" customHeight="1" thickBot="1" x14ac:dyDescent="0.3">
      <c r="B96" s="361"/>
      <c r="C96" s="194"/>
      <c r="D96" s="364"/>
    </row>
    <row r="97" spans="2:4" ht="15" customHeight="1" thickBot="1" x14ac:dyDescent="0.3">
      <c r="B97" s="361"/>
      <c r="C97" s="194"/>
      <c r="D97" s="364"/>
    </row>
    <row r="98" spans="2:4" ht="15" customHeight="1" thickBot="1" x14ac:dyDescent="0.3">
      <c r="B98" s="361"/>
      <c r="C98" s="194"/>
      <c r="D98" s="364"/>
    </row>
    <row r="99" spans="2:4" ht="15" customHeight="1" thickBot="1" x14ac:dyDescent="0.3">
      <c r="B99" s="361"/>
      <c r="C99" s="194"/>
      <c r="D99" s="364"/>
    </row>
    <row r="100" spans="2:4" ht="15" customHeight="1" thickBot="1" x14ac:dyDescent="0.3">
      <c r="B100" s="361"/>
      <c r="C100" s="194"/>
      <c r="D100" s="364"/>
    </row>
    <row r="101" spans="2:4" ht="15" customHeight="1" thickBot="1" x14ac:dyDescent="0.3">
      <c r="B101" s="361"/>
      <c r="C101" s="194"/>
      <c r="D101" s="364"/>
    </row>
    <row r="102" spans="2:4" ht="15" customHeight="1" thickBot="1" x14ac:dyDescent="0.3">
      <c r="B102" s="361"/>
      <c r="C102" s="194"/>
      <c r="D102" s="364"/>
    </row>
    <row r="103" spans="2:4" ht="15" customHeight="1" thickBot="1" x14ac:dyDescent="0.3">
      <c r="B103" s="361"/>
      <c r="C103" s="194"/>
      <c r="D103" s="364"/>
    </row>
    <row r="104" spans="2:4" ht="15" customHeight="1" thickBot="1" x14ac:dyDescent="0.3">
      <c r="B104" s="361"/>
      <c r="C104" s="194"/>
      <c r="D104" s="364"/>
    </row>
    <row r="105" spans="2:4" ht="15" customHeight="1" thickBot="1" x14ac:dyDescent="0.3">
      <c r="B105" s="361"/>
      <c r="C105" s="194"/>
      <c r="D105" s="364"/>
    </row>
    <row r="106" spans="2:4" ht="15" customHeight="1" thickBot="1" x14ac:dyDescent="0.3">
      <c r="B106" s="361"/>
      <c r="C106" s="194"/>
      <c r="D106" s="364"/>
    </row>
    <row r="107" spans="2:4" ht="15" customHeight="1" thickBot="1" x14ac:dyDescent="0.3">
      <c r="B107" s="361"/>
      <c r="C107" s="194"/>
      <c r="D107" s="364"/>
    </row>
    <row r="108" spans="2:4" ht="15" customHeight="1" thickBot="1" x14ac:dyDescent="0.3">
      <c r="B108" s="361"/>
      <c r="C108" s="194"/>
      <c r="D108" s="364"/>
    </row>
    <row r="109" spans="2:4" ht="15" customHeight="1" thickBot="1" x14ac:dyDescent="0.3">
      <c r="B109" s="361"/>
      <c r="C109" s="194"/>
      <c r="D109" s="364"/>
    </row>
    <row r="110" spans="2:4" ht="15" customHeight="1" thickBot="1" x14ac:dyDescent="0.3">
      <c r="B110" s="361"/>
      <c r="C110" s="194"/>
      <c r="D110" s="364"/>
    </row>
    <row r="111" spans="2:4" ht="15" customHeight="1" thickBot="1" x14ac:dyDescent="0.3">
      <c r="B111" s="361"/>
      <c r="C111" s="194"/>
      <c r="D111" s="364"/>
    </row>
    <row r="112" spans="2:4" ht="15" customHeight="1" thickBot="1" x14ac:dyDescent="0.3">
      <c r="B112" s="361"/>
      <c r="C112" s="194"/>
      <c r="D112" s="364"/>
    </row>
    <row r="113" spans="2:4" ht="15" customHeight="1" thickBot="1" x14ac:dyDescent="0.3">
      <c r="B113" s="361"/>
      <c r="C113" s="194"/>
      <c r="D113" s="364"/>
    </row>
    <row r="114" spans="2:4" ht="15" customHeight="1" thickBot="1" x14ac:dyDescent="0.3">
      <c r="B114" s="361"/>
      <c r="C114" s="194"/>
      <c r="D114" s="364"/>
    </row>
    <row r="115" spans="2:4" ht="15" customHeight="1" thickBot="1" x14ac:dyDescent="0.3">
      <c r="B115" s="361"/>
      <c r="C115" s="194"/>
      <c r="D115" s="364"/>
    </row>
    <row r="116" spans="2:4" ht="15" customHeight="1" thickBot="1" x14ac:dyDescent="0.3">
      <c r="B116" s="361"/>
      <c r="C116" s="194"/>
      <c r="D116" s="364"/>
    </row>
    <row r="117" spans="2:4" ht="24.95" customHeight="1" thickBot="1" x14ac:dyDescent="0.3">
      <c r="B117" s="413" t="s">
        <v>597</v>
      </c>
      <c r="C117" s="414"/>
      <c r="D117" s="364"/>
    </row>
    <row r="118" spans="2:4" ht="24.95" customHeight="1" thickBot="1" x14ac:dyDescent="0.3">
      <c r="B118" s="413" t="s">
        <v>296</v>
      </c>
      <c r="C118" s="414"/>
      <c r="D118" s="364"/>
    </row>
  </sheetData>
  <mergeCells count="15">
    <mergeCell ref="B117:C117"/>
    <mergeCell ref="B118:C118"/>
    <mergeCell ref="B32:C32"/>
    <mergeCell ref="B31:C31"/>
    <mergeCell ref="D32:D33"/>
    <mergeCell ref="B1:D1"/>
    <mergeCell ref="B2:D2"/>
    <mergeCell ref="B3:D3"/>
    <mergeCell ref="D10:D11"/>
    <mergeCell ref="B9:C9"/>
    <mergeCell ref="B5:C5"/>
    <mergeCell ref="B6:C6"/>
    <mergeCell ref="B7:C7"/>
    <mergeCell ref="B8:C8"/>
    <mergeCell ref="B10:C10"/>
  </mergeCells>
  <pageMargins left="0.70866141732283472" right="0.70866141732283472" top="0.74803149606299213" bottom="0.74803149606299213" header="0.31496062992125984" footer="0.31496062992125984"/>
  <pageSetup paperSize="14" scale="80" fitToWidth="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4"/>
  <sheetViews>
    <sheetView topLeftCell="A49" workbookViewId="0">
      <selection activeCell="B4" sqref="B4"/>
    </sheetView>
  </sheetViews>
  <sheetFormatPr baseColWidth="10" defaultRowHeight="15" x14ac:dyDescent="0.25"/>
  <cols>
    <col min="1" max="1" width="8.7109375" customWidth="1"/>
    <col min="2" max="2" width="64" customWidth="1"/>
    <col min="3" max="3" width="18.28515625" customWidth="1"/>
    <col min="4" max="4" width="8.7109375" customWidth="1"/>
  </cols>
  <sheetData>
    <row r="1" spans="2:3" ht="20.100000000000001" customHeight="1" x14ac:dyDescent="0.25">
      <c r="B1" s="379" t="s">
        <v>97</v>
      </c>
      <c r="C1" s="381"/>
    </row>
    <row r="2" spans="2:3" ht="20.100000000000001" customHeight="1" x14ac:dyDescent="0.25">
      <c r="B2" s="382" t="s">
        <v>87</v>
      </c>
      <c r="C2" s="384"/>
    </row>
    <row r="3" spans="2:3" ht="20.100000000000001" customHeight="1" thickBot="1" x14ac:dyDescent="0.3">
      <c r="B3" s="385" t="s">
        <v>289</v>
      </c>
      <c r="C3" s="387"/>
    </row>
    <row r="4" spans="2:3" ht="15.75" x14ac:dyDescent="0.25">
      <c r="B4" s="249" t="s">
        <v>647</v>
      </c>
      <c r="C4" s="102"/>
    </row>
    <row r="5" spans="2:3" ht="15.75" x14ac:dyDescent="0.25">
      <c r="B5" s="249" t="s">
        <v>645</v>
      </c>
      <c r="C5" s="102"/>
    </row>
    <row r="6" spans="2:3" ht="15.75" x14ac:dyDescent="0.25">
      <c r="B6" s="249" t="s">
        <v>620</v>
      </c>
      <c r="C6" s="102"/>
    </row>
    <row r="7" spans="2:3" ht="15.75" x14ac:dyDescent="0.25">
      <c r="B7" s="205" t="s">
        <v>641</v>
      </c>
      <c r="C7" s="4"/>
    </row>
    <row r="8" spans="2:3" ht="15.75" x14ac:dyDescent="0.25">
      <c r="B8" s="418" t="s">
        <v>285</v>
      </c>
      <c r="C8" s="418"/>
    </row>
    <row r="9" spans="2:3" ht="20.100000000000001" customHeight="1" x14ac:dyDescent="0.25">
      <c r="B9" s="262" t="s">
        <v>153</v>
      </c>
      <c r="C9" s="264" t="s">
        <v>131</v>
      </c>
    </row>
    <row r="10" spans="2:3" ht="16.5" customHeight="1" x14ac:dyDescent="0.25">
      <c r="B10" s="238" t="s">
        <v>491</v>
      </c>
      <c r="C10" s="216"/>
    </row>
    <row r="11" spans="2:3" ht="20.100000000000001" customHeight="1" x14ac:dyDescent="0.25">
      <c r="B11" s="263" t="s">
        <v>152</v>
      </c>
      <c r="C11" s="252" t="s">
        <v>131</v>
      </c>
    </row>
    <row r="12" spans="2:3" ht="15" customHeight="1" x14ac:dyDescent="0.25">
      <c r="B12" s="237" t="s">
        <v>492</v>
      </c>
      <c r="C12" s="216"/>
    </row>
    <row r="13" spans="2:3" ht="15" customHeight="1" x14ac:dyDescent="0.25">
      <c r="B13" s="237" t="s">
        <v>493</v>
      </c>
      <c r="C13" s="216"/>
    </row>
    <row r="14" spans="2:3" ht="15" customHeight="1" x14ac:dyDescent="0.25">
      <c r="B14" s="237" t="s">
        <v>494</v>
      </c>
      <c r="C14" s="216"/>
    </row>
    <row r="15" spans="2:3" ht="15" customHeight="1" x14ac:dyDescent="0.25">
      <c r="B15" s="237" t="s">
        <v>495</v>
      </c>
      <c r="C15" s="216"/>
    </row>
    <row r="16" spans="2:3" ht="15" customHeight="1" x14ac:dyDescent="0.25">
      <c r="B16" s="237" t="s">
        <v>496</v>
      </c>
      <c r="C16" s="216"/>
    </row>
    <row r="17" spans="2:3" ht="15" customHeight="1" x14ac:dyDescent="0.25">
      <c r="B17" s="237" t="s">
        <v>497</v>
      </c>
      <c r="C17" s="216"/>
    </row>
    <row r="18" spans="2:3" ht="15" customHeight="1" x14ac:dyDescent="0.25">
      <c r="B18" s="237" t="s">
        <v>498</v>
      </c>
      <c r="C18" s="216"/>
    </row>
    <row r="19" spans="2:3" ht="15" customHeight="1" x14ac:dyDescent="0.25">
      <c r="B19" s="237" t="s">
        <v>499</v>
      </c>
      <c r="C19" s="216"/>
    </row>
    <row r="20" spans="2:3" ht="15" customHeight="1" x14ac:dyDescent="0.25">
      <c r="B20" s="237" t="s">
        <v>500</v>
      </c>
      <c r="C20" s="216"/>
    </row>
    <row r="21" spans="2:3" ht="15" customHeight="1" x14ac:dyDescent="0.25">
      <c r="B21" s="237" t="s">
        <v>151</v>
      </c>
      <c r="C21" s="216"/>
    </row>
    <row r="22" spans="2:3" ht="15" customHeight="1" x14ac:dyDescent="0.25">
      <c r="B22" s="237" t="s">
        <v>150</v>
      </c>
      <c r="C22" s="216"/>
    </row>
    <row r="23" spans="2:3" ht="15" customHeight="1" x14ac:dyDescent="0.25">
      <c r="B23" s="237" t="s">
        <v>501</v>
      </c>
      <c r="C23" s="216"/>
    </row>
    <row r="24" spans="2:3" ht="15" customHeight="1" x14ac:dyDescent="0.25">
      <c r="B24" s="237" t="s">
        <v>502</v>
      </c>
      <c r="C24" s="216"/>
    </row>
    <row r="25" spans="2:3" ht="15" customHeight="1" x14ac:dyDescent="0.25">
      <c r="B25" s="237" t="s">
        <v>503</v>
      </c>
      <c r="C25" s="216"/>
    </row>
    <row r="26" spans="2:3" ht="15" customHeight="1" x14ac:dyDescent="0.25">
      <c r="B26" s="237" t="s">
        <v>504</v>
      </c>
      <c r="C26" s="216"/>
    </row>
    <row r="27" spans="2:3" ht="15" customHeight="1" x14ac:dyDescent="0.25">
      <c r="B27" s="237" t="s">
        <v>142</v>
      </c>
      <c r="C27" s="216"/>
    </row>
    <row r="28" spans="2:3" ht="15" customHeight="1" x14ac:dyDescent="0.25">
      <c r="B28" s="237" t="s">
        <v>505</v>
      </c>
      <c r="C28" s="216"/>
    </row>
    <row r="29" spans="2:3" ht="15" customHeight="1" x14ac:dyDescent="0.25">
      <c r="B29" s="237" t="s">
        <v>506</v>
      </c>
      <c r="C29" s="216"/>
    </row>
    <row r="30" spans="2:3" ht="15" customHeight="1" x14ac:dyDescent="0.25">
      <c r="B30" s="237" t="s">
        <v>524</v>
      </c>
      <c r="C30" s="216"/>
    </row>
    <row r="31" spans="2:3" ht="15" customHeight="1" x14ac:dyDescent="0.25">
      <c r="B31" s="237" t="s">
        <v>147</v>
      </c>
      <c r="C31" s="216"/>
    </row>
    <row r="32" spans="2:3" ht="15" customHeight="1" x14ac:dyDescent="0.25">
      <c r="B32" s="237" t="s">
        <v>146</v>
      </c>
      <c r="C32" s="216"/>
    </row>
    <row r="33" spans="2:3" ht="15" customHeight="1" x14ac:dyDescent="0.25">
      <c r="B33" s="237" t="s">
        <v>507</v>
      </c>
      <c r="C33" s="216"/>
    </row>
    <row r="34" spans="2:3" ht="15" customHeight="1" x14ac:dyDescent="0.25">
      <c r="B34" s="237" t="s">
        <v>508</v>
      </c>
      <c r="C34" s="216"/>
    </row>
    <row r="35" spans="2:3" ht="15" customHeight="1" x14ac:dyDescent="0.25">
      <c r="B35" s="237" t="s">
        <v>527</v>
      </c>
      <c r="C35" s="216"/>
    </row>
    <row r="36" spans="2:3" ht="15" customHeight="1" x14ac:dyDescent="0.25">
      <c r="B36" s="237" t="s">
        <v>144</v>
      </c>
      <c r="C36" s="216"/>
    </row>
    <row r="37" spans="2:3" ht="15" customHeight="1" x14ac:dyDescent="0.25">
      <c r="B37" s="237" t="s">
        <v>145</v>
      </c>
      <c r="C37" s="216"/>
    </row>
    <row r="38" spans="2:3" ht="15" customHeight="1" x14ac:dyDescent="0.25">
      <c r="B38" s="237" t="s">
        <v>510</v>
      </c>
      <c r="C38" s="216"/>
    </row>
    <row r="39" spans="2:3" ht="15" customHeight="1" x14ac:dyDescent="0.25">
      <c r="B39" s="237" t="s">
        <v>511</v>
      </c>
      <c r="C39" s="216"/>
    </row>
    <row r="40" spans="2:3" ht="15" customHeight="1" x14ac:dyDescent="0.25">
      <c r="B40" s="237" t="s">
        <v>509</v>
      </c>
      <c r="C40" s="239"/>
    </row>
    <row r="41" spans="2:3" ht="15" customHeight="1" x14ac:dyDescent="0.25">
      <c r="B41" s="237" t="s">
        <v>512</v>
      </c>
      <c r="C41" s="216"/>
    </row>
    <row r="42" spans="2:3" ht="15" customHeight="1" x14ac:dyDescent="0.25">
      <c r="B42" s="237" t="s">
        <v>149</v>
      </c>
      <c r="C42" s="216"/>
    </row>
    <row r="43" spans="2:3" ht="15" customHeight="1" x14ac:dyDescent="0.25">
      <c r="B43" s="237" t="s">
        <v>513</v>
      </c>
      <c r="C43" s="216"/>
    </row>
    <row r="44" spans="2:3" ht="15" customHeight="1" x14ac:dyDescent="0.25">
      <c r="B44" s="237" t="s">
        <v>526</v>
      </c>
      <c r="C44" s="216"/>
    </row>
    <row r="45" spans="2:3" ht="15" customHeight="1" x14ac:dyDescent="0.25">
      <c r="B45" s="237" t="s">
        <v>514</v>
      </c>
      <c r="C45" s="216"/>
    </row>
    <row r="46" spans="2:3" ht="15" customHeight="1" x14ac:dyDescent="0.25">
      <c r="B46" s="237" t="s">
        <v>525</v>
      </c>
      <c r="C46" s="216"/>
    </row>
    <row r="47" spans="2:3" ht="15" customHeight="1" x14ac:dyDescent="0.25">
      <c r="B47" s="237" t="s">
        <v>515</v>
      </c>
      <c r="C47" s="216"/>
    </row>
    <row r="48" spans="2:3" ht="15" customHeight="1" x14ac:dyDescent="0.25">
      <c r="B48" s="237" t="s">
        <v>516</v>
      </c>
      <c r="C48" s="216"/>
    </row>
    <row r="49" spans="2:3" ht="15" customHeight="1" x14ac:dyDescent="0.25">
      <c r="B49" s="237" t="s">
        <v>148</v>
      </c>
      <c r="C49" s="216"/>
    </row>
    <row r="50" spans="2:3" ht="15" customHeight="1" x14ac:dyDescent="0.25">
      <c r="B50" s="237" t="s">
        <v>523</v>
      </c>
      <c r="C50" s="216"/>
    </row>
    <row r="51" spans="2:3" ht="15" customHeight="1" x14ac:dyDescent="0.25">
      <c r="B51" s="237" t="s">
        <v>517</v>
      </c>
      <c r="C51" s="216"/>
    </row>
    <row r="52" spans="2:3" ht="15" customHeight="1" x14ac:dyDescent="0.25">
      <c r="B52" s="237" t="s">
        <v>518</v>
      </c>
      <c r="C52" s="216"/>
    </row>
    <row r="53" spans="2:3" ht="15" customHeight="1" x14ac:dyDescent="0.25">
      <c r="B53" s="237" t="s">
        <v>139</v>
      </c>
      <c r="C53" s="216"/>
    </row>
    <row r="54" spans="2:3" ht="15" customHeight="1" x14ac:dyDescent="0.25">
      <c r="B54" s="237" t="s">
        <v>519</v>
      </c>
      <c r="C54" s="216"/>
    </row>
    <row r="55" spans="2:3" ht="15" customHeight="1" x14ac:dyDescent="0.25">
      <c r="B55" s="237" t="s">
        <v>140</v>
      </c>
      <c r="C55" s="216"/>
    </row>
    <row r="56" spans="2:3" ht="15" customHeight="1" x14ac:dyDescent="0.25">
      <c r="B56" s="237" t="s">
        <v>520</v>
      </c>
      <c r="C56" s="216"/>
    </row>
    <row r="57" spans="2:3" ht="15" customHeight="1" x14ac:dyDescent="0.25">
      <c r="B57" s="237" t="s">
        <v>141</v>
      </c>
      <c r="C57" s="216"/>
    </row>
    <row r="58" spans="2:3" ht="15" customHeight="1" x14ac:dyDescent="0.25">
      <c r="B58" s="237" t="s">
        <v>521</v>
      </c>
      <c r="C58" s="216"/>
    </row>
    <row r="59" spans="2:3" ht="15" customHeight="1" x14ac:dyDescent="0.25">
      <c r="B59" s="237" t="s">
        <v>522</v>
      </c>
      <c r="C59" s="216"/>
    </row>
    <row r="60" spans="2:3" ht="15" customHeight="1" x14ac:dyDescent="0.25">
      <c r="B60" s="237" t="s">
        <v>143</v>
      </c>
      <c r="C60" s="216"/>
    </row>
    <row r="61" spans="2:3" ht="20.100000000000001" customHeight="1" x14ac:dyDescent="0.25">
      <c r="B61" s="261" t="s">
        <v>286</v>
      </c>
      <c r="C61" s="360"/>
    </row>
    <row r="63" spans="2:3" x14ac:dyDescent="0.25">
      <c r="B63" s="324" t="s">
        <v>288</v>
      </c>
      <c r="C63" s="324" t="s">
        <v>126</v>
      </c>
    </row>
    <row r="64" spans="2:3" x14ac:dyDescent="0.25">
      <c r="B64" s="324" t="s">
        <v>127</v>
      </c>
      <c r="C64" s="324" t="s">
        <v>128</v>
      </c>
    </row>
  </sheetData>
  <sortState ref="B11:B59">
    <sortCondition ref="B11"/>
  </sortState>
  <mergeCells count="4">
    <mergeCell ref="B8:C8"/>
    <mergeCell ref="B1:C1"/>
    <mergeCell ref="B2:C2"/>
    <mergeCell ref="B3:C3"/>
  </mergeCells>
  <pageMargins left="0.7" right="0.7" top="0.45" bottom="0.4" header="0.3" footer="0.3"/>
  <pageSetup paperSize="14"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A4" sqref="A4"/>
    </sheetView>
  </sheetViews>
  <sheetFormatPr baseColWidth="10" defaultRowHeight="15" x14ac:dyDescent="0.25"/>
  <cols>
    <col min="1" max="1" width="57.28515625" customWidth="1"/>
    <col min="2" max="3" width="15.7109375" customWidth="1"/>
  </cols>
  <sheetData>
    <row r="1" spans="1:3" ht="20.100000000000001" customHeight="1" x14ac:dyDescent="0.25">
      <c r="A1" s="379" t="s">
        <v>97</v>
      </c>
      <c r="B1" s="380"/>
      <c r="C1" s="381"/>
    </row>
    <row r="2" spans="1:3" ht="20.100000000000001" customHeight="1" x14ac:dyDescent="0.25">
      <c r="A2" s="382" t="s">
        <v>87</v>
      </c>
      <c r="B2" s="383"/>
      <c r="C2" s="384"/>
    </row>
    <row r="3" spans="1:3" ht="20.100000000000001" customHeight="1" thickBot="1" x14ac:dyDescent="0.3">
      <c r="A3" s="385" t="s">
        <v>289</v>
      </c>
      <c r="B3" s="386"/>
      <c r="C3" s="387"/>
    </row>
    <row r="4" spans="1:3" ht="15" customHeight="1" x14ac:dyDescent="0.25">
      <c r="A4" s="249" t="s">
        <v>647</v>
      </c>
      <c r="B4" s="127"/>
      <c r="C4" s="127"/>
    </row>
    <row r="5" spans="1:3" ht="15" customHeight="1" x14ac:dyDescent="0.25">
      <c r="A5" s="249" t="s">
        <v>650</v>
      </c>
    </row>
    <row r="6" spans="1:3" ht="15" customHeight="1" x14ac:dyDescent="0.25">
      <c r="A6" s="249" t="s">
        <v>622</v>
      </c>
    </row>
    <row r="7" spans="1:3" ht="15" customHeight="1" x14ac:dyDescent="0.25">
      <c r="A7" s="205" t="s">
        <v>634</v>
      </c>
      <c r="B7" s="5"/>
      <c r="C7" s="5"/>
    </row>
    <row r="8" spans="1:3" ht="15" customHeight="1" x14ac:dyDescent="0.25">
      <c r="A8" s="205"/>
      <c r="B8" s="5"/>
      <c r="C8" s="5"/>
    </row>
    <row r="9" spans="1:3" ht="16.5" customHeight="1" x14ac:dyDescent="0.25">
      <c r="A9" s="418" t="s">
        <v>582</v>
      </c>
      <c r="B9" s="418"/>
      <c r="C9" s="418"/>
    </row>
    <row r="10" spans="1:3" ht="24.95" customHeight="1" x14ac:dyDescent="0.25">
      <c r="A10" s="378" t="s">
        <v>583</v>
      </c>
      <c r="B10" s="378" t="s">
        <v>94</v>
      </c>
      <c r="C10" s="378" t="s">
        <v>155</v>
      </c>
    </row>
    <row r="11" spans="1:3" ht="24.95" customHeight="1" x14ac:dyDescent="0.25">
      <c r="A11" s="378"/>
      <c r="B11" s="378"/>
      <c r="C11" s="378"/>
    </row>
    <row r="12" spans="1:3" ht="15.75" customHeight="1" x14ac:dyDescent="0.25">
      <c r="A12" s="121" t="s">
        <v>21</v>
      </c>
      <c r="B12" s="342">
        <f>SUM(B13:B16)</f>
        <v>0</v>
      </c>
      <c r="C12" s="340">
        <f>SUM(C13:C16)</f>
        <v>0</v>
      </c>
    </row>
    <row r="13" spans="1:3" ht="15.75" x14ac:dyDescent="0.25">
      <c r="A13" s="122" t="s">
        <v>22</v>
      </c>
      <c r="B13" s="206">
        <v>0</v>
      </c>
      <c r="C13" s="206">
        <v>0</v>
      </c>
    </row>
    <row r="14" spans="1:3" ht="15.75" x14ac:dyDescent="0.25">
      <c r="A14" s="122" t="s">
        <v>23</v>
      </c>
      <c r="B14" s="206">
        <v>0</v>
      </c>
      <c r="C14" s="206">
        <v>0</v>
      </c>
    </row>
    <row r="15" spans="1:3" ht="15.75" x14ac:dyDescent="0.25">
      <c r="A15" s="122" t="s">
        <v>24</v>
      </c>
      <c r="B15" s="206">
        <v>0</v>
      </c>
      <c r="C15" s="206">
        <v>0</v>
      </c>
    </row>
    <row r="16" spans="1:3" ht="15.75" x14ac:dyDescent="0.25">
      <c r="A16" s="122" t="s">
        <v>25</v>
      </c>
      <c r="B16" s="206">
        <v>0</v>
      </c>
      <c r="C16" s="206">
        <v>0</v>
      </c>
    </row>
    <row r="17" spans="1:3" ht="15.75" x14ac:dyDescent="0.25">
      <c r="A17" s="123" t="s">
        <v>26</v>
      </c>
      <c r="B17" s="341">
        <f>SUM(B18:B23)</f>
        <v>0</v>
      </c>
      <c r="C17" s="341">
        <f>SUM(C18:C23)</f>
        <v>0</v>
      </c>
    </row>
    <row r="18" spans="1:3" ht="15.75" x14ac:dyDescent="0.25">
      <c r="A18" s="122" t="s">
        <v>27</v>
      </c>
      <c r="B18" s="206">
        <v>0</v>
      </c>
      <c r="C18" s="206">
        <v>0</v>
      </c>
    </row>
    <row r="19" spans="1:3" ht="15.75" x14ac:dyDescent="0.25">
      <c r="A19" s="122" t="s">
        <v>28</v>
      </c>
      <c r="B19" s="206">
        <v>0</v>
      </c>
      <c r="C19" s="206">
        <v>0</v>
      </c>
    </row>
    <row r="20" spans="1:3" ht="15.75" x14ac:dyDescent="0.25">
      <c r="A20" s="122" t="s">
        <v>101</v>
      </c>
      <c r="B20" s="206">
        <v>0</v>
      </c>
      <c r="C20" s="206">
        <v>0</v>
      </c>
    </row>
    <row r="21" spans="1:3" ht="15.75" x14ac:dyDescent="0.25">
      <c r="A21" s="122" t="s">
        <v>102</v>
      </c>
      <c r="B21" s="206">
        <v>0</v>
      </c>
      <c r="C21" s="206">
        <v>0</v>
      </c>
    </row>
    <row r="22" spans="1:3" ht="15.75" x14ac:dyDescent="0.25">
      <c r="A22" s="122" t="s">
        <v>103</v>
      </c>
      <c r="B22" s="206">
        <v>0</v>
      </c>
      <c r="C22" s="206">
        <v>0</v>
      </c>
    </row>
    <row r="23" spans="1:3" ht="15.75" x14ac:dyDescent="0.25">
      <c r="A23" s="122" t="s">
        <v>104</v>
      </c>
      <c r="B23" s="206">
        <v>0</v>
      </c>
      <c r="C23" s="206">
        <v>0</v>
      </c>
    </row>
    <row r="24" spans="1:3" ht="15.75" x14ac:dyDescent="0.25">
      <c r="A24" s="124" t="s">
        <v>29</v>
      </c>
      <c r="B24" s="341">
        <f>SUM(B25:B26)</f>
        <v>0</v>
      </c>
      <c r="C24" s="341">
        <f>SUM(C25:C26)</f>
        <v>0</v>
      </c>
    </row>
    <row r="25" spans="1:3" ht="15.75" x14ac:dyDescent="0.25">
      <c r="A25" s="122" t="s">
        <v>22</v>
      </c>
      <c r="B25" s="206">
        <v>0</v>
      </c>
      <c r="C25" s="206">
        <v>0</v>
      </c>
    </row>
    <row r="26" spans="1:3" ht="15.75" x14ac:dyDescent="0.25">
      <c r="A26" s="122" t="s">
        <v>24</v>
      </c>
      <c r="B26" s="206">
        <v>0</v>
      </c>
      <c r="C26" s="206">
        <v>0</v>
      </c>
    </row>
    <row r="27" spans="1:3" ht="15.75" x14ac:dyDescent="0.25">
      <c r="A27" s="121" t="s">
        <v>30</v>
      </c>
      <c r="B27" s="341">
        <f>SUM(B28:B33)</f>
        <v>0</v>
      </c>
      <c r="C27" s="341">
        <f>SUM(C28:C33)</f>
        <v>0</v>
      </c>
    </row>
    <row r="28" spans="1:3" ht="15.75" x14ac:dyDescent="0.25">
      <c r="A28" s="122" t="s">
        <v>98</v>
      </c>
      <c r="B28" s="206">
        <v>0</v>
      </c>
      <c r="C28" s="206">
        <v>0</v>
      </c>
    </row>
    <row r="29" spans="1:3" ht="15.75" x14ac:dyDescent="0.25">
      <c r="A29" s="122" t="s">
        <v>99</v>
      </c>
      <c r="B29" s="206">
        <v>0</v>
      </c>
      <c r="C29" s="206">
        <v>0</v>
      </c>
    </row>
    <row r="30" spans="1:3" ht="15.75" x14ac:dyDescent="0.25">
      <c r="A30" s="122" t="s">
        <v>23</v>
      </c>
      <c r="B30" s="206">
        <v>0</v>
      </c>
      <c r="C30" s="206">
        <v>0</v>
      </c>
    </row>
    <row r="31" spans="1:3" ht="15.75" x14ac:dyDescent="0.25">
      <c r="A31" s="122" t="s">
        <v>24</v>
      </c>
      <c r="B31" s="206">
        <v>0</v>
      </c>
      <c r="C31" s="206">
        <v>0</v>
      </c>
    </row>
    <row r="32" spans="1:3" ht="15.75" x14ac:dyDescent="0.25">
      <c r="A32" s="122" t="s">
        <v>31</v>
      </c>
      <c r="B32" s="206">
        <v>0</v>
      </c>
      <c r="C32" s="206">
        <v>0</v>
      </c>
    </row>
    <row r="33" spans="1:3" ht="15.75" x14ac:dyDescent="0.25">
      <c r="A33" s="122" t="s">
        <v>100</v>
      </c>
      <c r="B33" s="206">
        <v>0</v>
      </c>
      <c r="C33" s="206">
        <v>0</v>
      </c>
    </row>
    <row r="34" spans="1:3" ht="15.75" x14ac:dyDescent="0.25">
      <c r="A34" s="124" t="s">
        <v>33</v>
      </c>
      <c r="B34" s="341">
        <f>SUM(B35:B37)</f>
        <v>0</v>
      </c>
      <c r="C34" s="341">
        <f>SUM(C35:C37)</f>
        <v>0</v>
      </c>
    </row>
    <row r="35" spans="1:3" ht="15.75" x14ac:dyDescent="0.25">
      <c r="A35" s="122" t="s">
        <v>34</v>
      </c>
      <c r="B35" s="206">
        <v>0</v>
      </c>
      <c r="C35" s="206">
        <v>0</v>
      </c>
    </row>
    <row r="36" spans="1:3" ht="15.75" x14ac:dyDescent="0.25">
      <c r="A36" s="122" t="s">
        <v>23</v>
      </c>
      <c r="B36" s="206">
        <v>0</v>
      </c>
      <c r="C36" s="206">
        <v>0</v>
      </c>
    </row>
    <row r="37" spans="1:3" ht="15.75" x14ac:dyDescent="0.25">
      <c r="A37" s="122" t="s">
        <v>24</v>
      </c>
      <c r="B37" s="206">
        <v>0</v>
      </c>
      <c r="C37" s="206">
        <v>0</v>
      </c>
    </row>
    <row r="38" spans="1:3" ht="15.75" x14ac:dyDescent="0.25">
      <c r="A38" s="125" t="s">
        <v>132</v>
      </c>
      <c r="B38" s="341">
        <f>SUM(B39:B41)</f>
        <v>0</v>
      </c>
      <c r="C38" s="341">
        <f>SUM(C39:C41)</f>
        <v>0</v>
      </c>
    </row>
    <row r="39" spans="1:3" ht="15.75" x14ac:dyDescent="0.25">
      <c r="A39" s="126" t="s">
        <v>36</v>
      </c>
      <c r="B39" s="206">
        <v>0</v>
      </c>
      <c r="C39" s="206">
        <v>0</v>
      </c>
    </row>
    <row r="40" spans="1:3" ht="15.75" x14ac:dyDescent="0.25">
      <c r="A40" s="126" t="s">
        <v>23</v>
      </c>
      <c r="B40" s="206">
        <v>0</v>
      </c>
      <c r="C40" s="206">
        <v>0</v>
      </c>
    </row>
    <row r="41" spans="1:3" ht="15.75" x14ac:dyDescent="0.25">
      <c r="A41" s="122" t="s">
        <v>24</v>
      </c>
      <c r="B41" s="206">
        <v>0</v>
      </c>
      <c r="C41" s="206">
        <v>0</v>
      </c>
    </row>
    <row r="42" spans="1:3" ht="20.100000000000001" customHeight="1" x14ac:dyDescent="0.25">
      <c r="A42" s="316" t="s">
        <v>580</v>
      </c>
      <c r="B42" s="338">
        <f>B12+B17+B24+B27+B34+B38</f>
        <v>0</v>
      </c>
      <c r="C42" s="338">
        <f>C12+C17+C24+C27+C34+C38</f>
        <v>0</v>
      </c>
    </row>
    <row r="43" spans="1:3" ht="15.75" x14ac:dyDescent="0.25">
      <c r="A43" s="316" t="s">
        <v>581</v>
      </c>
      <c r="B43" s="245">
        <v>0</v>
      </c>
      <c r="C43" s="245">
        <v>0</v>
      </c>
    </row>
    <row r="44" spans="1:3" ht="15.75" x14ac:dyDescent="0.25">
      <c r="A44" s="316" t="s">
        <v>584</v>
      </c>
      <c r="B44" s="338">
        <f>SUM(B42:B43)</f>
        <v>0</v>
      </c>
      <c r="C44" s="245">
        <f>SUM(C42:C43)</f>
        <v>0</v>
      </c>
    </row>
    <row r="46" spans="1:3" x14ac:dyDescent="0.25">
      <c r="A46" s="324" t="s">
        <v>288</v>
      </c>
      <c r="B46" s="324" t="s">
        <v>126</v>
      </c>
    </row>
    <row r="47" spans="1:3" x14ac:dyDescent="0.25">
      <c r="A47" s="324" t="s">
        <v>127</v>
      </c>
      <c r="B47" s="324" t="s">
        <v>128</v>
      </c>
    </row>
  </sheetData>
  <mergeCells count="7">
    <mergeCell ref="A1:C1"/>
    <mergeCell ref="A2:C2"/>
    <mergeCell ref="A3:C3"/>
    <mergeCell ref="A10:A11"/>
    <mergeCell ref="B10:B11"/>
    <mergeCell ref="C10:C11"/>
    <mergeCell ref="A9:C9"/>
  </mergeCells>
  <pageMargins left="1.01" right="0.7" top="0.75" bottom="0.75" header="0.3" footer="0.3"/>
  <pageSetup paperSize="14" scale="9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A6" sqref="A6"/>
    </sheetView>
  </sheetViews>
  <sheetFormatPr baseColWidth="10" defaultRowHeight="15" x14ac:dyDescent="0.25"/>
  <cols>
    <col min="1" max="1" width="71.5703125" customWidth="1"/>
    <col min="2" max="2" width="24.42578125" customWidth="1"/>
    <col min="3" max="3" width="7.7109375" customWidth="1"/>
  </cols>
  <sheetData>
    <row r="1" spans="1:4" ht="20.100000000000001" customHeight="1" x14ac:dyDescent="0.25">
      <c r="A1" s="389" t="s">
        <v>97</v>
      </c>
      <c r="B1" s="390"/>
    </row>
    <row r="2" spans="1:4" ht="20.100000000000001" customHeight="1" x14ac:dyDescent="0.25">
      <c r="A2" s="391" t="s">
        <v>87</v>
      </c>
      <c r="B2" s="392"/>
    </row>
    <row r="3" spans="1:4" ht="20.100000000000001" customHeight="1" thickBot="1" x14ac:dyDescent="0.3">
      <c r="A3" s="393" t="s">
        <v>289</v>
      </c>
      <c r="B3" s="394"/>
    </row>
    <row r="4" spans="1:4" ht="6" customHeight="1" x14ac:dyDescent="0.25">
      <c r="A4" s="210"/>
      <c r="B4" s="210"/>
    </row>
    <row r="5" spans="1:4" ht="15" customHeight="1" x14ac:dyDescent="0.25">
      <c r="A5" s="102" t="s">
        <v>647</v>
      </c>
      <c r="B5" s="2"/>
    </row>
    <row r="6" spans="1:4" ht="15" customHeight="1" x14ac:dyDescent="0.25">
      <c r="A6" s="102" t="s">
        <v>651</v>
      </c>
      <c r="B6" s="9"/>
    </row>
    <row r="7" spans="1:4" ht="15" customHeight="1" x14ac:dyDescent="0.25">
      <c r="A7" s="102" t="s">
        <v>623</v>
      </c>
      <c r="B7" s="9"/>
    </row>
    <row r="8" spans="1:4" ht="15" customHeight="1" x14ac:dyDescent="0.25">
      <c r="A8" s="332" t="s">
        <v>642</v>
      </c>
      <c r="B8" s="9"/>
    </row>
    <row r="9" spans="1:4" ht="16.5" customHeight="1" x14ac:dyDescent="0.25">
      <c r="A9" s="418" t="s">
        <v>297</v>
      </c>
      <c r="B9" s="418"/>
      <c r="C9" s="207"/>
      <c r="D9" s="207"/>
    </row>
    <row r="10" spans="1:4" ht="30" customHeight="1" x14ac:dyDescent="0.25">
      <c r="A10" s="245" t="s">
        <v>115</v>
      </c>
      <c r="B10" s="245" t="s">
        <v>154</v>
      </c>
    </row>
    <row r="11" spans="1:4" ht="15" customHeight="1" x14ac:dyDescent="0.25">
      <c r="A11" s="240" t="s">
        <v>532</v>
      </c>
      <c r="B11" s="233"/>
    </row>
    <row r="12" spans="1:4" ht="15" customHeight="1" x14ac:dyDescent="0.25">
      <c r="A12" s="241" t="s">
        <v>535</v>
      </c>
      <c r="B12" s="233"/>
    </row>
    <row r="13" spans="1:4" ht="15" customHeight="1" x14ac:dyDescent="0.25">
      <c r="A13" s="241" t="s">
        <v>536</v>
      </c>
      <c r="B13" s="233"/>
    </row>
    <row r="14" spans="1:4" ht="15" customHeight="1" x14ac:dyDescent="0.25">
      <c r="A14" s="240" t="s">
        <v>528</v>
      </c>
      <c r="B14" s="233"/>
    </row>
    <row r="15" spans="1:4" ht="15" customHeight="1" x14ac:dyDescent="0.25">
      <c r="A15" s="240" t="s">
        <v>529</v>
      </c>
      <c r="B15" s="233"/>
    </row>
    <row r="16" spans="1:4" ht="15" customHeight="1" x14ac:dyDescent="0.25">
      <c r="A16" s="240" t="s">
        <v>71</v>
      </c>
      <c r="B16" s="233"/>
    </row>
    <row r="17" spans="1:2" ht="15" customHeight="1" x14ac:dyDescent="0.25">
      <c r="A17" s="240" t="s">
        <v>530</v>
      </c>
      <c r="B17" s="233"/>
    </row>
    <row r="18" spans="1:2" ht="15" customHeight="1" x14ac:dyDescent="0.25">
      <c r="A18" s="240" t="s">
        <v>531</v>
      </c>
      <c r="B18" s="233"/>
    </row>
    <row r="19" spans="1:2" ht="15" customHeight="1" x14ac:dyDescent="0.25">
      <c r="A19" s="241" t="s">
        <v>533</v>
      </c>
      <c r="B19" s="233"/>
    </row>
    <row r="20" spans="1:2" ht="15" customHeight="1" x14ac:dyDescent="0.25">
      <c r="A20" s="241" t="s">
        <v>534</v>
      </c>
      <c r="B20" s="233"/>
    </row>
    <row r="21" spans="1:2" ht="30" customHeight="1" x14ac:dyDescent="0.25">
      <c r="A21" s="245" t="s">
        <v>116</v>
      </c>
      <c r="B21" s="245" t="s">
        <v>154</v>
      </c>
    </row>
    <row r="22" spans="1:2" ht="15" customHeight="1" x14ac:dyDescent="0.25">
      <c r="A22" s="191" t="s">
        <v>82</v>
      </c>
      <c r="B22" s="108"/>
    </row>
    <row r="23" spans="1:2" ht="15" customHeight="1" x14ac:dyDescent="0.25">
      <c r="A23" s="191" t="s">
        <v>264</v>
      </c>
      <c r="B23" s="108"/>
    </row>
    <row r="24" spans="1:2" ht="15" customHeight="1" x14ac:dyDescent="0.25">
      <c r="A24" s="191" t="s">
        <v>79</v>
      </c>
      <c r="B24" s="108"/>
    </row>
    <row r="25" spans="1:2" ht="15" customHeight="1" x14ac:dyDescent="0.25">
      <c r="A25" s="191" t="s">
        <v>256</v>
      </c>
      <c r="B25" s="108"/>
    </row>
    <row r="26" spans="1:2" ht="15" customHeight="1" x14ac:dyDescent="0.25">
      <c r="A26" s="191" t="s">
        <v>259</v>
      </c>
      <c r="B26" s="108"/>
    </row>
    <row r="27" spans="1:2" ht="15" customHeight="1" x14ac:dyDescent="0.25">
      <c r="A27" s="191" t="s">
        <v>262</v>
      </c>
      <c r="B27" s="108"/>
    </row>
    <row r="28" spans="1:2" ht="15" customHeight="1" x14ac:dyDescent="0.25">
      <c r="A28" s="191" t="s">
        <v>261</v>
      </c>
      <c r="B28" s="108"/>
    </row>
    <row r="29" spans="1:2" ht="15" customHeight="1" x14ac:dyDescent="0.25">
      <c r="A29" s="191" t="s">
        <v>268</v>
      </c>
      <c r="B29" s="108"/>
    </row>
    <row r="30" spans="1:2" ht="15" customHeight="1" x14ac:dyDescent="0.25">
      <c r="A30" s="191" t="s">
        <v>269</v>
      </c>
      <c r="B30" s="108"/>
    </row>
    <row r="31" spans="1:2" ht="15" customHeight="1" x14ac:dyDescent="0.25">
      <c r="A31" s="191" t="s">
        <v>253</v>
      </c>
      <c r="B31" s="108"/>
    </row>
    <row r="32" spans="1:2" ht="15" customHeight="1" x14ac:dyDescent="0.25">
      <c r="A32" s="191" t="s">
        <v>266</v>
      </c>
      <c r="B32" s="108"/>
    </row>
    <row r="33" spans="1:2" ht="15" customHeight="1" x14ac:dyDescent="0.25">
      <c r="A33" s="191" t="s">
        <v>255</v>
      </c>
      <c r="B33" s="108"/>
    </row>
    <row r="34" spans="1:2" ht="15" customHeight="1" x14ac:dyDescent="0.25">
      <c r="A34" s="191" t="s">
        <v>80</v>
      </c>
      <c r="B34" s="108"/>
    </row>
    <row r="35" spans="1:2" ht="15" customHeight="1" x14ac:dyDescent="0.25">
      <c r="A35" s="191" t="s">
        <v>258</v>
      </c>
      <c r="B35" s="108"/>
    </row>
    <row r="36" spans="1:2" ht="15" customHeight="1" x14ac:dyDescent="0.25">
      <c r="A36" s="191" t="s">
        <v>254</v>
      </c>
      <c r="B36" s="108"/>
    </row>
    <row r="37" spans="1:2" ht="15" customHeight="1" x14ac:dyDescent="0.25">
      <c r="A37" s="191" t="s">
        <v>267</v>
      </c>
      <c r="B37" s="108"/>
    </row>
    <row r="38" spans="1:2" ht="15" customHeight="1" x14ac:dyDescent="0.25">
      <c r="A38" s="191" t="s">
        <v>252</v>
      </c>
      <c r="B38" s="109"/>
    </row>
    <row r="39" spans="1:2" ht="15" customHeight="1" x14ac:dyDescent="0.25">
      <c r="A39" s="191" t="s">
        <v>81</v>
      </c>
      <c r="B39" s="109"/>
    </row>
    <row r="40" spans="1:2" ht="15" customHeight="1" x14ac:dyDescent="0.25">
      <c r="A40" s="191" t="s">
        <v>263</v>
      </c>
      <c r="B40" s="109"/>
    </row>
    <row r="41" spans="1:2" ht="15" customHeight="1" x14ac:dyDescent="0.25">
      <c r="A41" s="191" t="s">
        <v>257</v>
      </c>
      <c r="B41" s="109"/>
    </row>
    <row r="42" spans="1:2" ht="15" customHeight="1" x14ac:dyDescent="0.25">
      <c r="A42" s="191" t="s">
        <v>260</v>
      </c>
      <c r="B42" s="109"/>
    </row>
    <row r="43" spans="1:2" ht="15" customHeight="1" x14ac:dyDescent="0.25">
      <c r="A43" s="191" t="s">
        <v>265</v>
      </c>
      <c r="B43" s="109"/>
    </row>
    <row r="44" spans="1:2" ht="15" customHeight="1" x14ac:dyDescent="0.25">
      <c r="A44" s="191" t="s">
        <v>308</v>
      </c>
      <c r="B44" s="109"/>
    </row>
    <row r="45" spans="1:2" ht="24.95" customHeight="1" x14ac:dyDescent="0.25">
      <c r="A45" s="244" t="s">
        <v>284</v>
      </c>
      <c r="B45" s="203"/>
    </row>
    <row r="46" spans="1:2" ht="15" customHeight="1" x14ac:dyDescent="0.25">
      <c r="A46" s="217"/>
      <c r="B46" s="109"/>
    </row>
    <row r="47" spans="1:2" ht="30" customHeight="1" x14ac:dyDescent="0.25">
      <c r="A47" s="245" t="s">
        <v>307</v>
      </c>
      <c r="B47" s="203"/>
    </row>
    <row r="48" spans="1:2" ht="15" customHeight="1" x14ac:dyDescent="0.25">
      <c r="A48" s="194" t="s">
        <v>274</v>
      </c>
      <c r="B48" s="109"/>
    </row>
    <row r="49" spans="1:2" ht="15" customHeight="1" x14ac:dyDescent="0.25">
      <c r="A49" s="194" t="s">
        <v>275</v>
      </c>
      <c r="B49" s="109"/>
    </row>
    <row r="50" spans="1:2" ht="15" customHeight="1" x14ac:dyDescent="0.25">
      <c r="A50" s="194" t="s">
        <v>276</v>
      </c>
      <c r="B50" s="109"/>
    </row>
    <row r="51" spans="1:2" ht="15" customHeight="1" x14ac:dyDescent="0.25">
      <c r="A51" s="194" t="s">
        <v>277</v>
      </c>
      <c r="B51" s="521"/>
    </row>
    <row r="52" spans="1:2" ht="15" customHeight="1" x14ac:dyDescent="0.25">
      <c r="A52" s="195" t="s">
        <v>278</v>
      </c>
      <c r="B52" s="239"/>
    </row>
    <row r="53" spans="1:2" ht="15" customHeight="1" x14ac:dyDescent="0.25">
      <c r="A53" s="194" t="s">
        <v>279</v>
      </c>
      <c r="B53" s="216"/>
    </row>
    <row r="54" spans="1:2" ht="15" customHeight="1" x14ac:dyDescent="0.25">
      <c r="A54" s="194" t="s">
        <v>280</v>
      </c>
      <c r="B54" s="216"/>
    </row>
    <row r="55" spans="1:2" ht="15" customHeight="1" x14ac:dyDescent="0.25">
      <c r="A55" s="194" t="s">
        <v>281</v>
      </c>
      <c r="B55" s="216"/>
    </row>
    <row r="56" spans="1:2" x14ac:dyDescent="0.25">
      <c r="B56" s="362"/>
    </row>
    <row r="57" spans="1:2" x14ac:dyDescent="0.25">
      <c r="A57" s="324" t="s">
        <v>540</v>
      </c>
      <c r="B57" s="324" t="s">
        <v>551</v>
      </c>
    </row>
    <row r="58" spans="1:2" x14ac:dyDescent="0.25">
      <c r="A58" s="324" t="s">
        <v>552</v>
      </c>
      <c r="B58" s="324" t="s">
        <v>128</v>
      </c>
    </row>
  </sheetData>
  <sortState ref="A11:A20">
    <sortCondition ref="A11"/>
  </sortState>
  <mergeCells count="4">
    <mergeCell ref="A1:B1"/>
    <mergeCell ref="A2:B2"/>
    <mergeCell ref="A3:B3"/>
    <mergeCell ref="A9:B9"/>
  </mergeCells>
  <pageMargins left="1.01" right="0.70866141732283472" top="0.74803149606299213" bottom="0.74803149606299213" header="0.31496062992125984" footer="0.31496062992125984"/>
  <pageSetup paperSize="14" scale="90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zoomScale="56" zoomScaleNormal="56" zoomScaleSheetLayoutView="40" workbookViewId="0">
      <selection activeCell="A4" sqref="A4:D4"/>
    </sheetView>
  </sheetViews>
  <sheetFormatPr baseColWidth="10" defaultRowHeight="15" x14ac:dyDescent="0.25"/>
  <cols>
    <col min="1" max="1" width="8.28515625" customWidth="1"/>
    <col min="2" max="2" width="9.85546875" customWidth="1"/>
    <col min="3" max="3" width="15.42578125" customWidth="1"/>
    <col min="5" max="5" width="13.85546875" customWidth="1"/>
    <col min="6" max="6" width="17.28515625" customWidth="1"/>
    <col min="8" max="8" width="16.7109375" customWidth="1"/>
    <col min="9" max="9" width="17" customWidth="1"/>
    <col min="10" max="10" width="12.7109375" customWidth="1"/>
    <col min="12" max="12" width="19" customWidth="1"/>
    <col min="13" max="13" width="16.28515625" customWidth="1"/>
    <col min="14" max="14" width="46.7109375" customWidth="1"/>
    <col min="15" max="15" width="9.85546875" customWidth="1"/>
    <col min="16" max="16" width="10.85546875" customWidth="1"/>
    <col min="17" max="17" width="11" customWidth="1"/>
    <col min="18" max="18" width="10.42578125" customWidth="1"/>
    <col min="19" max="19" width="9.85546875" customWidth="1"/>
    <col min="20" max="21" width="10.140625" customWidth="1"/>
  </cols>
  <sheetData>
    <row r="1" spans="1:21" ht="35.1" customHeight="1" x14ac:dyDescent="0.25">
      <c r="A1" s="420" t="s">
        <v>86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2"/>
    </row>
    <row r="2" spans="1:21" ht="35.1" customHeight="1" x14ac:dyDescent="0.25">
      <c r="A2" s="423" t="s">
        <v>87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5"/>
    </row>
    <row r="3" spans="1:21" ht="35.1" customHeight="1" thickBot="1" x14ac:dyDescent="0.3">
      <c r="A3" s="426" t="s">
        <v>289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8"/>
    </row>
    <row r="4" spans="1:21" ht="24.95" customHeight="1" x14ac:dyDescent="0.25">
      <c r="A4" s="445" t="s">
        <v>647</v>
      </c>
      <c r="B4" s="445"/>
      <c r="C4" s="445"/>
      <c r="D4" s="445"/>
      <c r="E4" s="318"/>
      <c r="F4" s="319"/>
      <c r="G4" s="7"/>
    </row>
    <row r="5" spans="1:21" ht="24.95" customHeight="1" x14ac:dyDescent="0.25">
      <c r="A5" s="447" t="s">
        <v>652</v>
      </c>
      <c r="B5" s="447"/>
      <c r="C5" s="447"/>
      <c r="D5" s="447"/>
      <c r="E5" s="447"/>
      <c r="F5" s="447"/>
      <c r="G5" s="447"/>
      <c r="H5" s="447"/>
    </row>
    <row r="6" spans="1:21" ht="24.95" customHeight="1" x14ac:dyDescent="0.25">
      <c r="A6" s="447" t="s">
        <v>622</v>
      </c>
      <c r="B6" s="447"/>
      <c r="C6" s="447"/>
      <c r="D6" s="447"/>
      <c r="E6" s="320"/>
      <c r="F6" s="319"/>
      <c r="G6" s="7"/>
    </row>
    <row r="7" spans="1:21" ht="24.95" customHeight="1" x14ac:dyDescent="0.25">
      <c r="A7" s="448" t="s">
        <v>633</v>
      </c>
      <c r="B7" s="448"/>
      <c r="C7" s="448"/>
      <c r="D7" s="448"/>
      <c r="E7" s="448"/>
      <c r="F7" s="448"/>
      <c r="G7" s="7"/>
    </row>
    <row r="8" spans="1:21" ht="24.95" customHeight="1" x14ac:dyDescent="0.25">
      <c r="A8" s="326"/>
      <c r="B8" s="326"/>
      <c r="C8" s="326"/>
      <c r="D8" s="326"/>
      <c r="E8" s="326"/>
      <c r="F8" s="326"/>
      <c r="G8" s="7"/>
    </row>
    <row r="9" spans="1:21" ht="21" customHeight="1" x14ac:dyDescent="0.25">
      <c r="A9" s="446" t="s">
        <v>298</v>
      </c>
      <c r="B9" s="446"/>
      <c r="C9" s="446"/>
      <c r="D9" s="446"/>
      <c r="E9" s="446"/>
      <c r="F9" s="446"/>
      <c r="G9" s="321"/>
      <c r="H9" s="321"/>
      <c r="P9" s="440" t="s">
        <v>130</v>
      </c>
      <c r="Q9" s="440"/>
      <c r="R9" s="440"/>
      <c r="S9" s="322"/>
      <c r="T9" s="7"/>
      <c r="U9" s="7"/>
    </row>
    <row r="10" spans="1:21" ht="20.100000000000001" customHeight="1" x14ac:dyDescent="0.25">
      <c r="A10" s="429" t="s">
        <v>0</v>
      </c>
      <c r="B10" s="429" t="s">
        <v>287</v>
      </c>
      <c r="C10" s="441" t="s">
        <v>1</v>
      </c>
      <c r="D10" s="429" t="s">
        <v>2</v>
      </c>
      <c r="E10" s="429" t="s">
        <v>3</v>
      </c>
      <c r="F10" s="441" t="s">
        <v>4</v>
      </c>
      <c r="G10" s="443" t="s">
        <v>5</v>
      </c>
      <c r="H10" s="429" t="s">
        <v>588</v>
      </c>
      <c r="I10" s="429" t="s">
        <v>6</v>
      </c>
      <c r="J10" s="432" t="s">
        <v>7</v>
      </c>
      <c r="K10" s="432" t="s">
        <v>8</v>
      </c>
      <c r="L10" s="435" t="s">
        <v>9</v>
      </c>
      <c r="M10" s="429" t="s">
        <v>10</v>
      </c>
      <c r="N10" s="429" t="s">
        <v>11</v>
      </c>
      <c r="O10" s="429" t="s">
        <v>12</v>
      </c>
      <c r="P10" s="438" t="s">
        <v>123</v>
      </c>
      <c r="Q10" s="439"/>
      <c r="R10" s="429" t="s">
        <v>13</v>
      </c>
      <c r="S10" s="429" t="s">
        <v>14</v>
      </c>
      <c r="T10" s="429" t="s">
        <v>15</v>
      </c>
      <c r="U10" s="429" t="s">
        <v>16</v>
      </c>
    </row>
    <row r="11" spans="1:21" ht="30" customHeight="1" x14ac:dyDescent="0.25">
      <c r="A11" s="430"/>
      <c r="B11" s="437"/>
      <c r="C11" s="442"/>
      <c r="D11" s="430"/>
      <c r="E11" s="430"/>
      <c r="F11" s="442"/>
      <c r="G11" s="444"/>
      <c r="H11" s="430"/>
      <c r="I11" s="431"/>
      <c r="J11" s="433"/>
      <c r="K11" s="434"/>
      <c r="L11" s="436"/>
      <c r="M11" s="437"/>
      <c r="N11" s="430"/>
      <c r="O11" s="430"/>
      <c r="P11" s="266" t="s">
        <v>124</v>
      </c>
      <c r="Q11" s="267" t="s">
        <v>17</v>
      </c>
      <c r="R11" s="430"/>
      <c r="S11" s="430"/>
      <c r="T11" s="430"/>
      <c r="U11" s="430"/>
    </row>
    <row r="12" spans="1:21" ht="24.95" customHeight="1" x14ac:dyDescent="0.25">
      <c r="A12" s="323">
        <v>1</v>
      </c>
      <c r="B12" s="218"/>
      <c r="C12" s="269"/>
      <c r="D12" s="270"/>
      <c r="E12" s="271"/>
      <c r="F12" s="272"/>
      <c r="G12" s="273"/>
      <c r="H12" s="274"/>
      <c r="I12" s="275"/>
      <c r="J12" s="276"/>
      <c r="K12" s="276"/>
      <c r="L12" s="277"/>
      <c r="M12" s="274"/>
      <c r="N12" s="274"/>
      <c r="O12" s="268"/>
      <c r="P12" s="271"/>
      <c r="Q12" s="271"/>
      <c r="R12" s="271"/>
      <c r="S12" s="271"/>
      <c r="T12" s="271"/>
      <c r="U12" s="271"/>
    </row>
    <row r="13" spans="1:21" ht="24.95" customHeight="1" x14ac:dyDescent="0.25">
      <c r="A13" s="323">
        <v>2</v>
      </c>
      <c r="B13" s="218"/>
      <c r="C13" s="269"/>
      <c r="D13" s="270"/>
      <c r="E13" s="271"/>
      <c r="F13" s="272"/>
      <c r="G13" s="273"/>
      <c r="H13" s="274"/>
      <c r="I13" s="275"/>
      <c r="J13" s="276"/>
      <c r="K13" s="276"/>
      <c r="L13" s="277"/>
      <c r="M13" s="274"/>
      <c r="N13" s="274"/>
      <c r="O13" s="268"/>
      <c r="P13" s="271"/>
      <c r="Q13" s="271"/>
      <c r="R13" s="271"/>
      <c r="S13" s="271"/>
      <c r="T13" s="271"/>
      <c r="U13" s="271"/>
    </row>
    <row r="14" spans="1:21" ht="24.95" customHeight="1" x14ac:dyDescent="0.25">
      <c r="A14" s="323">
        <v>3</v>
      </c>
      <c r="B14" s="218"/>
      <c r="C14" s="269"/>
      <c r="D14" s="270"/>
      <c r="E14" s="271"/>
      <c r="F14" s="272"/>
      <c r="G14" s="273"/>
      <c r="H14" s="274"/>
      <c r="I14" s="275"/>
      <c r="J14" s="276"/>
      <c r="K14" s="276"/>
      <c r="L14" s="277"/>
      <c r="M14" s="274"/>
      <c r="N14" s="274"/>
      <c r="O14" s="268"/>
      <c r="P14" s="271"/>
      <c r="Q14" s="271"/>
      <c r="R14" s="271"/>
      <c r="S14" s="271"/>
      <c r="T14" s="271"/>
      <c r="U14" s="271"/>
    </row>
    <row r="15" spans="1:21" ht="24.95" customHeight="1" x14ac:dyDescent="0.25">
      <c r="A15" s="323">
        <v>4</v>
      </c>
      <c r="B15" s="218"/>
      <c r="C15" s="269"/>
      <c r="D15" s="270"/>
      <c r="E15" s="271"/>
      <c r="F15" s="272"/>
      <c r="G15" s="273"/>
      <c r="H15" s="274"/>
      <c r="I15" s="275"/>
      <c r="J15" s="276"/>
      <c r="K15" s="276"/>
      <c r="L15" s="277"/>
      <c r="M15" s="274"/>
      <c r="N15" s="274"/>
      <c r="O15" s="268"/>
      <c r="P15" s="271"/>
      <c r="Q15" s="271"/>
      <c r="R15" s="271"/>
      <c r="S15" s="271"/>
      <c r="T15" s="271"/>
      <c r="U15" s="271"/>
    </row>
    <row r="16" spans="1:21" ht="24.95" customHeight="1" x14ac:dyDescent="0.25">
      <c r="A16" s="323">
        <v>5</v>
      </c>
      <c r="B16" s="218"/>
      <c r="C16" s="269"/>
      <c r="D16" s="270"/>
      <c r="E16" s="271"/>
      <c r="F16" s="272"/>
      <c r="G16" s="273"/>
      <c r="H16" s="274"/>
      <c r="I16" s="275"/>
      <c r="J16" s="276"/>
      <c r="K16" s="276"/>
      <c r="L16" s="277"/>
      <c r="M16" s="274"/>
      <c r="N16" s="274"/>
      <c r="O16" s="268"/>
      <c r="P16" s="271"/>
      <c r="Q16" s="271"/>
      <c r="R16" s="271"/>
      <c r="S16" s="271"/>
      <c r="T16" s="271"/>
      <c r="U16" s="271"/>
    </row>
    <row r="17" spans="1:21" ht="24.95" customHeight="1" x14ac:dyDescent="0.25">
      <c r="A17" s="323">
        <v>6</v>
      </c>
      <c r="B17" s="218"/>
      <c r="C17" s="269"/>
      <c r="D17" s="270"/>
      <c r="E17" s="271"/>
      <c r="F17" s="272"/>
      <c r="G17" s="273"/>
      <c r="H17" s="274"/>
      <c r="I17" s="275"/>
      <c r="J17" s="276"/>
      <c r="K17" s="276"/>
      <c r="L17" s="277"/>
      <c r="M17" s="274"/>
      <c r="N17" s="274"/>
      <c r="O17" s="268"/>
      <c r="P17" s="271"/>
      <c r="Q17" s="271"/>
      <c r="R17" s="271"/>
      <c r="S17" s="271"/>
      <c r="T17" s="271"/>
      <c r="U17" s="271"/>
    </row>
    <row r="18" spans="1:21" ht="24.95" customHeight="1" x14ac:dyDescent="0.25">
      <c r="A18" s="323">
        <v>7</v>
      </c>
      <c r="B18" s="218"/>
      <c r="C18" s="269"/>
      <c r="D18" s="270"/>
      <c r="E18" s="271"/>
      <c r="F18" s="272"/>
      <c r="G18" s="273"/>
      <c r="H18" s="274"/>
      <c r="I18" s="275"/>
      <c r="J18" s="276"/>
      <c r="K18" s="276"/>
      <c r="L18" s="277"/>
      <c r="M18" s="274"/>
      <c r="N18" s="274"/>
      <c r="O18" s="268"/>
      <c r="P18" s="271"/>
      <c r="Q18" s="271"/>
      <c r="R18" s="271"/>
      <c r="S18" s="271"/>
      <c r="T18" s="271"/>
      <c r="U18" s="271"/>
    </row>
    <row r="19" spans="1:21" ht="24.95" customHeight="1" x14ac:dyDescent="0.25">
      <c r="A19" s="323">
        <v>8</v>
      </c>
      <c r="B19" s="218"/>
      <c r="C19" s="269"/>
      <c r="D19" s="270"/>
      <c r="E19" s="271"/>
      <c r="F19" s="272"/>
      <c r="G19" s="273"/>
      <c r="H19" s="274"/>
      <c r="I19" s="275"/>
      <c r="J19" s="276"/>
      <c r="K19" s="276"/>
      <c r="L19" s="277"/>
      <c r="M19" s="274"/>
      <c r="N19" s="274"/>
      <c r="O19" s="268"/>
      <c r="P19" s="271"/>
      <c r="Q19" s="271"/>
      <c r="R19" s="271"/>
      <c r="S19" s="271"/>
      <c r="T19" s="271"/>
      <c r="U19" s="271"/>
    </row>
    <row r="20" spans="1:21" ht="24.95" customHeight="1" x14ac:dyDescent="0.25">
      <c r="A20" s="323">
        <v>9</v>
      </c>
      <c r="B20" s="218"/>
      <c r="C20" s="269"/>
      <c r="D20" s="270"/>
      <c r="E20" s="271"/>
      <c r="F20" s="272"/>
      <c r="G20" s="273"/>
      <c r="H20" s="274"/>
      <c r="I20" s="275"/>
      <c r="J20" s="276"/>
      <c r="K20" s="276"/>
      <c r="L20" s="277"/>
      <c r="M20" s="274"/>
      <c r="N20" s="274"/>
      <c r="O20" s="268"/>
      <c r="P20" s="271"/>
      <c r="Q20" s="271"/>
      <c r="R20" s="271"/>
      <c r="S20" s="271"/>
      <c r="T20" s="271"/>
      <c r="U20" s="271"/>
    </row>
    <row r="21" spans="1:21" ht="24.95" customHeight="1" x14ac:dyDescent="0.25">
      <c r="A21" s="323">
        <v>10</v>
      </c>
      <c r="B21" s="218"/>
      <c r="C21" s="269"/>
      <c r="D21" s="270"/>
      <c r="E21" s="271"/>
      <c r="F21" s="272"/>
      <c r="G21" s="273"/>
      <c r="H21" s="274"/>
      <c r="I21" s="275"/>
      <c r="J21" s="276"/>
      <c r="K21" s="276"/>
      <c r="L21" s="277"/>
      <c r="M21" s="274"/>
      <c r="N21" s="274"/>
      <c r="O21" s="268"/>
      <c r="P21" s="271"/>
      <c r="Q21" s="271"/>
      <c r="R21" s="271"/>
      <c r="S21" s="271"/>
      <c r="T21" s="271"/>
      <c r="U21" s="271"/>
    </row>
    <row r="22" spans="1:21" ht="24.95" customHeight="1" x14ac:dyDescent="0.25">
      <c r="A22" s="323">
        <v>11</v>
      </c>
      <c r="B22" s="218"/>
      <c r="C22" s="269"/>
      <c r="D22" s="270"/>
      <c r="E22" s="271"/>
      <c r="F22" s="272"/>
      <c r="G22" s="273"/>
      <c r="H22" s="274"/>
      <c r="I22" s="275"/>
      <c r="J22" s="276"/>
      <c r="K22" s="276"/>
      <c r="L22" s="277"/>
      <c r="M22" s="274"/>
      <c r="N22" s="274"/>
      <c r="O22" s="268"/>
      <c r="P22" s="271"/>
      <c r="Q22" s="271"/>
      <c r="R22" s="271"/>
      <c r="S22" s="271"/>
      <c r="T22" s="271"/>
      <c r="U22" s="271"/>
    </row>
    <row r="23" spans="1:21" ht="24.95" customHeight="1" x14ac:dyDescent="0.25">
      <c r="A23" s="323">
        <v>12</v>
      </c>
      <c r="B23" s="218"/>
      <c r="C23" s="269"/>
      <c r="D23" s="270"/>
      <c r="E23" s="271"/>
      <c r="F23" s="272"/>
      <c r="G23" s="273"/>
      <c r="H23" s="274"/>
      <c r="I23" s="275"/>
      <c r="J23" s="276"/>
      <c r="K23" s="276"/>
      <c r="L23" s="277"/>
      <c r="M23" s="274"/>
      <c r="N23" s="274"/>
      <c r="O23" s="268"/>
      <c r="P23" s="271"/>
      <c r="Q23" s="271"/>
      <c r="R23" s="271"/>
      <c r="S23" s="271"/>
      <c r="T23" s="271"/>
      <c r="U23" s="271"/>
    </row>
    <row r="24" spans="1:21" ht="24.95" customHeight="1" x14ac:dyDescent="0.25">
      <c r="A24" s="323">
        <v>13</v>
      </c>
      <c r="B24" s="218"/>
      <c r="C24" s="269"/>
      <c r="D24" s="270"/>
      <c r="E24" s="271"/>
      <c r="F24" s="272"/>
      <c r="G24" s="273"/>
      <c r="H24" s="274"/>
      <c r="I24" s="275"/>
      <c r="J24" s="276"/>
      <c r="K24" s="276"/>
      <c r="L24" s="277"/>
      <c r="M24" s="274"/>
      <c r="N24" s="274"/>
      <c r="O24" s="268"/>
      <c r="P24" s="271"/>
      <c r="Q24" s="271"/>
      <c r="R24" s="271"/>
      <c r="S24" s="271"/>
      <c r="T24" s="271"/>
      <c r="U24" s="271"/>
    </row>
    <row r="25" spans="1:21" ht="24.95" customHeight="1" x14ac:dyDescent="0.25">
      <c r="A25" s="323">
        <v>14</v>
      </c>
      <c r="B25" s="218"/>
      <c r="C25" s="269"/>
      <c r="D25" s="270"/>
      <c r="E25" s="271"/>
      <c r="F25" s="272"/>
      <c r="G25" s="273"/>
      <c r="H25" s="274"/>
      <c r="I25" s="275"/>
      <c r="J25" s="276"/>
      <c r="K25" s="276"/>
      <c r="L25" s="277"/>
      <c r="M25" s="274"/>
      <c r="N25" s="274"/>
      <c r="O25" s="268"/>
      <c r="P25" s="271"/>
      <c r="Q25" s="271"/>
      <c r="R25" s="271"/>
      <c r="S25" s="271"/>
      <c r="T25" s="271"/>
      <c r="U25" s="271"/>
    </row>
    <row r="26" spans="1:21" ht="24.95" customHeight="1" x14ac:dyDescent="0.25">
      <c r="A26" s="323">
        <v>15</v>
      </c>
      <c r="B26" s="218"/>
      <c r="C26" s="269"/>
      <c r="D26" s="270"/>
      <c r="E26" s="271"/>
      <c r="F26" s="272"/>
      <c r="G26" s="273"/>
      <c r="H26" s="274"/>
      <c r="I26" s="275"/>
      <c r="J26" s="276"/>
      <c r="K26" s="276"/>
      <c r="L26" s="277"/>
      <c r="M26" s="274"/>
      <c r="N26" s="274"/>
      <c r="O26" s="268"/>
      <c r="P26" s="271"/>
      <c r="Q26" s="271"/>
      <c r="R26" s="271"/>
      <c r="S26" s="271"/>
      <c r="T26" s="271"/>
      <c r="U26" s="271"/>
    </row>
    <row r="27" spans="1:21" ht="24.95" customHeight="1" x14ac:dyDescent="0.25">
      <c r="A27" s="323">
        <v>16</v>
      </c>
      <c r="B27" s="218"/>
      <c r="C27" s="269"/>
      <c r="D27" s="270"/>
      <c r="E27" s="271"/>
      <c r="F27" s="272"/>
      <c r="G27" s="273"/>
      <c r="H27" s="274"/>
      <c r="I27" s="275"/>
      <c r="J27" s="276"/>
      <c r="K27" s="276"/>
      <c r="L27" s="277"/>
      <c r="M27" s="274"/>
      <c r="N27" s="274"/>
      <c r="O27" s="268"/>
      <c r="P27" s="271"/>
      <c r="Q27" s="271"/>
      <c r="R27" s="271"/>
      <c r="S27" s="271"/>
      <c r="T27" s="271"/>
      <c r="U27" s="271"/>
    </row>
    <row r="28" spans="1:21" ht="24.95" customHeight="1" x14ac:dyDescent="0.25">
      <c r="A28" s="323">
        <v>17</v>
      </c>
      <c r="B28" s="218"/>
      <c r="C28" s="269"/>
      <c r="D28" s="270"/>
      <c r="E28" s="271"/>
      <c r="F28" s="272"/>
      <c r="G28" s="273"/>
      <c r="H28" s="274"/>
      <c r="I28" s="275"/>
      <c r="J28" s="276"/>
      <c r="K28" s="276"/>
      <c r="L28" s="277"/>
      <c r="M28" s="274"/>
      <c r="N28" s="274"/>
      <c r="O28" s="268"/>
      <c r="P28" s="271"/>
      <c r="Q28" s="271"/>
      <c r="R28" s="271"/>
      <c r="S28" s="271"/>
      <c r="T28" s="271"/>
      <c r="U28" s="271"/>
    </row>
    <row r="29" spans="1:21" ht="24.95" customHeight="1" x14ac:dyDescent="0.25">
      <c r="A29" s="323">
        <v>18</v>
      </c>
      <c r="B29" s="218"/>
      <c r="C29" s="269"/>
      <c r="D29" s="270"/>
      <c r="E29" s="271"/>
      <c r="F29" s="272"/>
      <c r="G29" s="273"/>
      <c r="H29" s="274"/>
      <c r="I29" s="275"/>
      <c r="J29" s="276"/>
      <c r="K29" s="276"/>
      <c r="L29" s="277"/>
      <c r="M29" s="274"/>
      <c r="N29" s="274"/>
      <c r="O29" s="268"/>
      <c r="P29" s="271"/>
      <c r="Q29" s="271"/>
      <c r="R29" s="271"/>
      <c r="S29" s="271"/>
      <c r="T29" s="271"/>
      <c r="U29" s="271"/>
    </row>
    <row r="30" spans="1:21" ht="24.95" customHeight="1" x14ac:dyDescent="0.25">
      <c r="A30" s="323">
        <v>19</v>
      </c>
      <c r="B30" s="218"/>
      <c r="C30" s="269"/>
      <c r="D30" s="270"/>
      <c r="E30" s="271"/>
      <c r="F30" s="272"/>
      <c r="G30" s="273"/>
      <c r="H30" s="274"/>
      <c r="I30" s="275"/>
      <c r="J30" s="276"/>
      <c r="K30" s="276"/>
      <c r="L30" s="277"/>
      <c r="M30" s="274"/>
      <c r="N30" s="274"/>
      <c r="O30" s="268"/>
      <c r="P30" s="271"/>
      <c r="Q30" s="271"/>
      <c r="R30" s="271"/>
      <c r="S30" s="271"/>
      <c r="T30" s="271"/>
      <c r="U30" s="271"/>
    </row>
    <row r="31" spans="1:21" ht="24.95" customHeight="1" x14ac:dyDescent="0.25">
      <c r="A31" s="323">
        <v>20</v>
      </c>
      <c r="B31" s="218"/>
      <c r="C31" s="269"/>
      <c r="D31" s="270"/>
      <c r="E31" s="271"/>
      <c r="F31" s="272"/>
      <c r="G31" s="273"/>
      <c r="H31" s="274"/>
      <c r="I31" s="275"/>
      <c r="J31" s="276"/>
      <c r="K31" s="276"/>
      <c r="L31" s="277"/>
      <c r="M31" s="274"/>
      <c r="N31" s="274"/>
      <c r="O31" s="268"/>
      <c r="P31" s="271"/>
      <c r="Q31" s="271"/>
      <c r="R31" s="271"/>
      <c r="S31" s="271"/>
      <c r="T31" s="271"/>
      <c r="U31" s="271"/>
    </row>
    <row r="32" spans="1:21" ht="24.95" customHeight="1" x14ac:dyDescent="0.25">
      <c r="A32" s="323">
        <v>21</v>
      </c>
      <c r="B32" s="218"/>
      <c r="C32" s="269"/>
      <c r="D32" s="270"/>
      <c r="E32" s="271"/>
      <c r="F32" s="272"/>
      <c r="G32" s="273"/>
      <c r="H32" s="274"/>
      <c r="I32" s="275"/>
      <c r="J32" s="276"/>
      <c r="K32" s="276"/>
      <c r="L32" s="277"/>
      <c r="M32" s="274"/>
      <c r="N32" s="274"/>
      <c r="O32" s="268"/>
      <c r="P32" s="271"/>
      <c r="Q32" s="271"/>
      <c r="R32" s="271"/>
      <c r="S32" s="271"/>
      <c r="T32" s="271"/>
      <c r="U32" s="271"/>
    </row>
    <row r="33" spans="1:21" ht="24.95" customHeight="1" x14ac:dyDescent="0.25">
      <c r="A33" s="323">
        <v>22</v>
      </c>
      <c r="B33" s="218"/>
      <c r="C33" s="269"/>
      <c r="D33" s="270"/>
      <c r="E33" s="271"/>
      <c r="F33" s="272"/>
      <c r="G33" s="273"/>
      <c r="H33" s="274"/>
      <c r="I33" s="275"/>
      <c r="J33" s="276"/>
      <c r="K33" s="276"/>
      <c r="L33" s="277"/>
      <c r="M33" s="274"/>
      <c r="N33" s="274"/>
      <c r="O33" s="268"/>
      <c r="P33" s="271"/>
      <c r="Q33" s="271"/>
      <c r="R33" s="271"/>
      <c r="S33" s="271"/>
      <c r="T33" s="271"/>
      <c r="U33" s="271"/>
    </row>
    <row r="34" spans="1:21" ht="24.95" customHeight="1" x14ac:dyDescent="0.25">
      <c r="A34" s="323">
        <v>23</v>
      </c>
      <c r="B34" s="218"/>
      <c r="C34" s="269"/>
      <c r="D34" s="270"/>
      <c r="E34" s="271"/>
      <c r="F34" s="272"/>
      <c r="G34" s="273"/>
      <c r="H34" s="274"/>
      <c r="I34" s="275"/>
      <c r="J34" s="276"/>
      <c r="K34" s="276"/>
      <c r="L34" s="277"/>
      <c r="M34" s="274"/>
      <c r="N34" s="274"/>
      <c r="O34" s="268"/>
      <c r="P34" s="271"/>
      <c r="Q34" s="271"/>
      <c r="R34" s="271"/>
      <c r="S34" s="271"/>
      <c r="T34" s="271"/>
      <c r="U34" s="271"/>
    </row>
    <row r="35" spans="1:21" ht="24.95" customHeight="1" x14ac:dyDescent="0.25">
      <c r="A35" s="323">
        <v>24</v>
      </c>
      <c r="B35" s="218"/>
      <c r="C35" s="269"/>
      <c r="D35" s="270"/>
      <c r="E35" s="271"/>
      <c r="F35" s="272"/>
      <c r="G35" s="273"/>
      <c r="H35" s="274"/>
      <c r="I35" s="275"/>
      <c r="J35" s="276"/>
      <c r="K35" s="276"/>
      <c r="L35" s="277"/>
      <c r="M35" s="274"/>
      <c r="N35" s="274"/>
      <c r="O35" s="268"/>
      <c r="P35" s="271"/>
      <c r="Q35" s="271"/>
      <c r="R35" s="271"/>
      <c r="S35" s="271"/>
      <c r="T35" s="271"/>
      <c r="U35" s="271"/>
    </row>
    <row r="36" spans="1:21" ht="24.95" customHeight="1" x14ac:dyDescent="0.25">
      <c r="A36" s="323">
        <v>25</v>
      </c>
      <c r="B36" s="218"/>
      <c r="C36" s="269"/>
      <c r="D36" s="270"/>
      <c r="E36" s="271"/>
      <c r="F36" s="272"/>
      <c r="G36" s="273"/>
      <c r="H36" s="274"/>
      <c r="I36" s="275"/>
      <c r="J36" s="276"/>
      <c r="K36" s="276"/>
      <c r="L36" s="277"/>
      <c r="M36" s="274"/>
      <c r="N36" s="274"/>
      <c r="O36" s="268"/>
      <c r="P36" s="271"/>
      <c r="Q36" s="271"/>
      <c r="R36" s="271"/>
      <c r="S36" s="271"/>
      <c r="T36" s="271"/>
      <c r="U36" s="271"/>
    </row>
    <row r="37" spans="1:21" ht="24.95" customHeight="1" x14ac:dyDescent="0.25">
      <c r="A37" s="323">
        <v>26</v>
      </c>
      <c r="B37" s="218"/>
      <c r="C37" s="269"/>
      <c r="D37" s="270"/>
      <c r="E37" s="271"/>
      <c r="F37" s="272"/>
      <c r="G37" s="273"/>
      <c r="H37" s="274"/>
      <c r="I37" s="275"/>
      <c r="J37" s="276"/>
      <c r="K37" s="276"/>
      <c r="L37" s="277"/>
      <c r="M37" s="274"/>
      <c r="N37" s="274"/>
      <c r="O37" s="268"/>
      <c r="P37" s="271"/>
      <c r="Q37" s="271"/>
      <c r="R37" s="271"/>
      <c r="S37" s="271"/>
      <c r="T37" s="271"/>
      <c r="U37" s="271"/>
    </row>
    <row r="38" spans="1:21" ht="24.95" customHeight="1" x14ac:dyDescent="0.25">
      <c r="A38" s="323">
        <v>27</v>
      </c>
      <c r="B38" s="218"/>
      <c r="C38" s="269"/>
      <c r="D38" s="270"/>
      <c r="E38" s="271"/>
      <c r="F38" s="272"/>
      <c r="G38" s="273"/>
      <c r="H38" s="274"/>
      <c r="I38" s="275"/>
      <c r="J38" s="276"/>
      <c r="K38" s="276"/>
      <c r="L38" s="277"/>
      <c r="M38" s="274"/>
      <c r="N38" s="274"/>
      <c r="O38" s="268"/>
      <c r="P38" s="271"/>
      <c r="Q38" s="271"/>
      <c r="R38" s="271"/>
      <c r="S38" s="271"/>
      <c r="T38" s="271"/>
      <c r="U38" s="271"/>
    </row>
    <row r="39" spans="1:21" ht="24.95" customHeight="1" x14ac:dyDescent="0.25">
      <c r="A39" s="323">
        <v>28</v>
      </c>
      <c r="B39" s="218"/>
      <c r="C39" s="269"/>
      <c r="D39" s="270"/>
      <c r="E39" s="271"/>
      <c r="F39" s="272"/>
      <c r="G39" s="273"/>
      <c r="H39" s="274"/>
      <c r="I39" s="275"/>
      <c r="J39" s="276"/>
      <c r="K39" s="276"/>
      <c r="L39" s="277"/>
      <c r="M39" s="274"/>
      <c r="N39" s="274"/>
      <c r="O39" s="268"/>
      <c r="P39" s="271"/>
      <c r="Q39" s="271"/>
      <c r="R39" s="271"/>
      <c r="S39" s="271"/>
      <c r="T39" s="271"/>
      <c r="U39" s="271"/>
    </row>
    <row r="40" spans="1:21" ht="24.95" customHeight="1" x14ac:dyDescent="0.25">
      <c r="A40" s="323">
        <v>29</v>
      </c>
      <c r="B40" s="218"/>
      <c r="C40" s="269"/>
      <c r="D40" s="270"/>
      <c r="E40" s="271"/>
      <c r="F40" s="272"/>
      <c r="G40" s="273"/>
      <c r="H40" s="274"/>
      <c r="I40" s="275"/>
      <c r="J40" s="276"/>
      <c r="K40" s="276"/>
      <c r="L40" s="277"/>
      <c r="M40" s="274"/>
      <c r="N40" s="274"/>
      <c r="O40" s="268"/>
      <c r="P40" s="271"/>
      <c r="Q40" s="271"/>
      <c r="R40" s="271"/>
      <c r="S40" s="271"/>
      <c r="T40" s="271"/>
      <c r="U40" s="271"/>
    </row>
    <row r="41" spans="1:21" ht="24.95" customHeight="1" x14ac:dyDescent="0.25">
      <c r="A41" s="323">
        <v>30</v>
      </c>
      <c r="B41" s="218"/>
      <c r="C41" s="269"/>
      <c r="D41" s="270"/>
      <c r="E41" s="271"/>
      <c r="F41" s="272"/>
      <c r="G41" s="273"/>
      <c r="H41" s="274"/>
      <c r="I41" s="275"/>
      <c r="J41" s="276"/>
      <c r="K41" s="276"/>
      <c r="L41" s="277"/>
      <c r="M41" s="274"/>
      <c r="N41" s="274"/>
      <c r="O41" s="268"/>
      <c r="P41" s="271"/>
      <c r="Q41" s="271"/>
      <c r="R41" s="271"/>
      <c r="S41" s="271"/>
      <c r="T41" s="271"/>
      <c r="U41" s="271"/>
    </row>
    <row r="42" spans="1:21" ht="24.75" customHeight="1" x14ac:dyDescent="0.25">
      <c r="A42" s="189"/>
      <c r="B42" s="189"/>
      <c r="C42" s="278"/>
      <c r="D42" s="279"/>
      <c r="E42" s="280"/>
      <c r="F42" s="281"/>
      <c r="G42" s="282"/>
      <c r="H42" s="283"/>
      <c r="I42" s="284"/>
      <c r="J42" s="285"/>
      <c r="K42" s="285"/>
      <c r="L42" s="286"/>
      <c r="M42" s="283"/>
      <c r="N42" s="283"/>
      <c r="O42" s="103"/>
      <c r="P42" s="280"/>
      <c r="Q42" s="280"/>
      <c r="R42" s="280"/>
      <c r="S42" s="280"/>
      <c r="T42" s="280"/>
      <c r="U42" s="280"/>
    </row>
    <row r="43" spans="1:21" ht="18.75" x14ac:dyDescent="0.3">
      <c r="A43" s="19"/>
      <c r="B43" s="419" t="s">
        <v>125</v>
      </c>
      <c r="C43" s="419"/>
      <c r="D43" s="419"/>
      <c r="E43" s="419"/>
      <c r="G43" s="419" t="s">
        <v>126</v>
      </c>
      <c r="H43" s="419"/>
      <c r="I43" s="419"/>
      <c r="J43" s="265"/>
      <c r="K43" s="265"/>
      <c r="L43" s="265"/>
      <c r="M43" s="265"/>
      <c r="N43" s="265"/>
    </row>
    <row r="44" spans="1:21" ht="18.75" x14ac:dyDescent="0.3">
      <c r="A44" s="19"/>
      <c r="B44" s="419" t="s">
        <v>127</v>
      </c>
      <c r="C44" s="419"/>
      <c r="D44" s="419"/>
      <c r="E44" s="419"/>
      <c r="G44" s="419" t="s">
        <v>128</v>
      </c>
      <c r="H44" s="419"/>
      <c r="I44" s="419"/>
      <c r="J44" s="265"/>
      <c r="K44" s="265"/>
      <c r="L44" s="265"/>
      <c r="M44" s="265"/>
      <c r="N44" s="265"/>
    </row>
    <row r="45" spans="1:21" ht="15.75" x14ac:dyDescent="0.25"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</row>
  </sheetData>
  <mergeCells count="33">
    <mergeCell ref="A4:D4"/>
    <mergeCell ref="A9:F9"/>
    <mergeCell ref="A6:D6"/>
    <mergeCell ref="B43:E43"/>
    <mergeCell ref="A7:F7"/>
    <mergeCell ref="B10:B11"/>
    <mergeCell ref="C10:C11"/>
    <mergeCell ref="D10:D11"/>
    <mergeCell ref="E10:E11"/>
    <mergeCell ref="A5:H5"/>
    <mergeCell ref="P9:R9"/>
    <mergeCell ref="R10:R11"/>
    <mergeCell ref="F10:F11"/>
    <mergeCell ref="T10:T11"/>
    <mergeCell ref="G10:G11"/>
    <mergeCell ref="H10:H11"/>
    <mergeCell ref="S10:S11"/>
    <mergeCell ref="B44:E44"/>
    <mergeCell ref="G43:I43"/>
    <mergeCell ref="G44:I44"/>
    <mergeCell ref="A1:U1"/>
    <mergeCell ref="A2:U2"/>
    <mergeCell ref="A3:U3"/>
    <mergeCell ref="U10:U11"/>
    <mergeCell ref="I10:I11"/>
    <mergeCell ref="J10:J11"/>
    <mergeCell ref="K10:K11"/>
    <mergeCell ref="L10:L11"/>
    <mergeCell ref="M10:M11"/>
    <mergeCell ref="N10:N11"/>
    <mergeCell ref="O10:O11"/>
    <mergeCell ref="P10:Q10"/>
    <mergeCell ref="A10:A11"/>
  </mergeCells>
  <pageMargins left="1.1811023622047245" right="0.70866141732283472" top="0.74803149606299213" bottom="0.74803149606299213" header="0.31496062992125984" footer="0.31496062992125984"/>
  <pageSetup paperSize="14" scale="45" fitToWidth="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zoomScale="70" zoomScaleNormal="70" workbookViewId="0">
      <selection activeCell="A9" sqref="A9:I9"/>
    </sheetView>
  </sheetViews>
  <sheetFormatPr baseColWidth="10" defaultRowHeight="15" x14ac:dyDescent="0.25"/>
  <cols>
    <col min="1" max="1" width="21.28515625" customWidth="1"/>
    <col min="2" max="2" width="15.140625" customWidth="1"/>
    <col min="3" max="3" width="4.5703125" customWidth="1"/>
    <col min="4" max="4" width="4.7109375" customWidth="1"/>
    <col min="5" max="5" width="4.140625" customWidth="1"/>
    <col min="6" max="6" width="4.5703125" customWidth="1"/>
    <col min="7" max="7" width="4.7109375" customWidth="1"/>
    <col min="8" max="8" width="5.140625" customWidth="1"/>
    <col min="9" max="9" width="4.85546875" customWidth="1"/>
    <col min="10" max="10" width="4.28515625" customWidth="1"/>
    <col min="11" max="11" width="5.28515625" customWidth="1"/>
    <col min="12" max="12" width="5.5703125" customWidth="1"/>
    <col min="13" max="13" width="5.140625" customWidth="1"/>
    <col min="14" max="14" width="5.28515625" customWidth="1"/>
    <col min="15" max="15" width="4.85546875" customWidth="1"/>
    <col min="16" max="16" width="4.42578125" customWidth="1"/>
    <col min="17" max="17" width="4.7109375" customWidth="1"/>
    <col min="18" max="18" width="4.42578125" customWidth="1"/>
    <col min="19" max="19" width="4.5703125" customWidth="1"/>
    <col min="20" max="20" width="4.140625" customWidth="1"/>
    <col min="21" max="21" width="4.5703125" customWidth="1"/>
    <col min="22" max="22" width="4.42578125" customWidth="1"/>
    <col min="23" max="23" width="4.5703125" customWidth="1"/>
    <col min="24" max="24" width="4.140625" customWidth="1"/>
    <col min="25" max="25" width="4.28515625" customWidth="1"/>
    <col min="26" max="26" width="4" customWidth="1"/>
    <col min="27" max="27" width="4.7109375" customWidth="1"/>
    <col min="28" max="28" width="4" customWidth="1"/>
    <col min="29" max="29" width="4.7109375" customWidth="1"/>
    <col min="30" max="31" width="3.85546875" customWidth="1"/>
    <col min="32" max="32" width="4.28515625" customWidth="1"/>
    <col min="33" max="33" width="4.5703125" customWidth="1"/>
    <col min="34" max="34" width="10" customWidth="1"/>
  </cols>
  <sheetData>
    <row r="1" spans="1:34" ht="24.95" customHeight="1" x14ac:dyDescent="0.25">
      <c r="A1" s="454" t="s">
        <v>86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6"/>
    </row>
    <row r="2" spans="1:34" ht="24.95" customHeight="1" x14ac:dyDescent="0.25">
      <c r="A2" s="457" t="s">
        <v>87</v>
      </c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58"/>
      <c r="W2" s="458"/>
      <c r="X2" s="458"/>
      <c r="Y2" s="458"/>
      <c r="Z2" s="458"/>
      <c r="AA2" s="458"/>
      <c r="AB2" s="458"/>
      <c r="AC2" s="458"/>
      <c r="AD2" s="458"/>
      <c r="AE2" s="458"/>
      <c r="AF2" s="458"/>
      <c r="AG2" s="458"/>
      <c r="AH2" s="459"/>
    </row>
    <row r="3" spans="1:34" ht="24.95" customHeight="1" thickBot="1" x14ac:dyDescent="0.3">
      <c r="A3" s="460" t="s">
        <v>289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2"/>
    </row>
    <row r="5" spans="1:34" ht="18" x14ac:dyDescent="0.25">
      <c r="A5" s="329" t="s">
        <v>624</v>
      </c>
      <c r="B5" s="330"/>
      <c r="C5" s="330"/>
      <c r="D5" s="330"/>
      <c r="E5" s="330"/>
      <c r="F5" s="330"/>
      <c r="G5" s="330"/>
      <c r="H5" s="330"/>
      <c r="I5" s="330"/>
      <c r="J5" s="102"/>
      <c r="K5" s="102"/>
      <c r="L5" s="102"/>
      <c r="M5" s="102"/>
      <c r="N5" s="102"/>
    </row>
    <row r="6" spans="1:34" ht="18" x14ac:dyDescent="0.25">
      <c r="A6" s="467" t="s">
        <v>625</v>
      </c>
      <c r="B6" s="467"/>
      <c r="C6" s="467"/>
      <c r="D6" s="467"/>
      <c r="E6" s="467"/>
      <c r="F6" s="467"/>
      <c r="G6" s="467"/>
      <c r="H6" s="467"/>
      <c r="I6" s="467"/>
      <c r="J6" s="467"/>
      <c r="K6" s="467"/>
      <c r="L6" s="467"/>
      <c r="M6" s="102"/>
      <c r="N6" s="102"/>
    </row>
    <row r="7" spans="1:34" ht="18" x14ac:dyDescent="0.25">
      <c r="A7" s="330" t="s">
        <v>290</v>
      </c>
      <c r="B7" s="330">
        <v>63</v>
      </c>
      <c r="C7" s="330"/>
      <c r="D7" s="330"/>
      <c r="E7" s="330"/>
      <c r="F7" s="330"/>
      <c r="G7" s="330"/>
      <c r="H7" s="330"/>
      <c r="I7" s="330"/>
      <c r="J7" s="102"/>
      <c r="K7" s="102"/>
      <c r="L7" s="102"/>
      <c r="M7" s="102"/>
      <c r="N7" s="102"/>
    </row>
    <row r="8" spans="1:34" ht="18" x14ac:dyDescent="0.25">
      <c r="A8" s="330"/>
      <c r="B8" s="330"/>
      <c r="C8" s="330"/>
      <c r="D8" s="330"/>
      <c r="E8" s="330"/>
      <c r="F8" s="330"/>
      <c r="G8" s="330"/>
      <c r="H8" s="330"/>
      <c r="I8" s="330"/>
      <c r="J8" s="102"/>
      <c r="K8" s="102"/>
      <c r="L8" s="102"/>
      <c r="M8" s="102"/>
      <c r="N8" s="102"/>
    </row>
    <row r="9" spans="1:34" ht="18" x14ac:dyDescent="0.25">
      <c r="A9" s="450" t="s">
        <v>632</v>
      </c>
      <c r="B9" s="450"/>
      <c r="C9" s="450"/>
      <c r="D9" s="450"/>
      <c r="E9" s="450"/>
      <c r="F9" s="450"/>
      <c r="G9" s="450"/>
      <c r="H9" s="450"/>
      <c r="I9" s="450"/>
      <c r="J9" s="102"/>
      <c r="K9" s="102"/>
      <c r="L9" s="102"/>
      <c r="M9" s="102"/>
      <c r="N9" s="102"/>
    </row>
    <row r="10" spans="1:34" ht="23.25" x14ac:dyDescent="0.25">
      <c r="A10" s="466" t="s">
        <v>299</v>
      </c>
      <c r="B10" s="466"/>
      <c r="C10" s="466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466"/>
    </row>
    <row r="11" spans="1:34" ht="16.5" thickBot="1" x14ac:dyDescent="0.3">
      <c r="A11" s="246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</row>
    <row r="12" spans="1:34" s="287" customFormat="1" ht="30" customHeight="1" thickBot="1" x14ac:dyDescent="0.3">
      <c r="A12" s="463" t="s">
        <v>539</v>
      </c>
      <c r="B12" s="464"/>
      <c r="C12" s="464"/>
      <c r="D12" s="464"/>
      <c r="E12" s="464"/>
      <c r="F12" s="464"/>
      <c r="G12" s="464"/>
      <c r="H12" s="464"/>
      <c r="I12" s="464"/>
      <c r="J12" s="464"/>
      <c r="K12" s="464"/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464"/>
      <c r="AB12" s="464"/>
      <c r="AC12" s="464"/>
      <c r="AD12" s="464"/>
      <c r="AE12" s="464"/>
      <c r="AF12" s="464"/>
      <c r="AG12" s="464"/>
      <c r="AH12" s="465"/>
    </row>
    <row r="13" spans="1:34" ht="24.95" customHeight="1" x14ac:dyDescent="0.25">
      <c r="A13" s="301"/>
      <c r="B13" s="302"/>
      <c r="C13" s="303">
        <v>1</v>
      </c>
      <c r="D13" s="303">
        <v>2</v>
      </c>
      <c r="E13" s="303">
        <v>3</v>
      </c>
      <c r="F13" s="303">
        <v>4</v>
      </c>
      <c r="G13" s="303">
        <v>5</v>
      </c>
      <c r="H13" s="303">
        <v>6</v>
      </c>
      <c r="I13" s="303">
        <v>7</v>
      </c>
      <c r="J13" s="303">
        <v>8</v>
      </c>
      <c r="K13" s="303">
        <v>9</v>
      </c>
      <c r="L13" s="303">
        <v>10</v>
      </c>
      <c r="M13" s="303">
        <v>11</v>
      </c>
      <c r="N13" s="303">
        <v>12</v>
      </c>
      <c r="O13" s="303">
        <v>13</v>
      </c>
      <c r="P13" s="303">
        <v>14</v>
      </c>
      <c r="Q13" s="303">
        <v>15</v>
      </c>
      <c r="R13" s="303">
        <v>16</v>
      </c>
      <c r="S13" s="303">
        <v>17</v>
      </c>
      <c r="T13" s="303">
        <v>18</v>
      </c>
      <c r="U13" s="303">
        <v>19</v>
      </c>
      <c r="V13" s="303">
        <v>20</v>
      </c>
      <c r="W13" s="303">
        <v>21</v>
      </c>
      <c r="X13" s="303">
        <v>22</v>
      </c>
      <c r="Y13" s="303">
        <v>23</v>
      </c>
      <c r="Z13" s="303">
        <v>24</v>
      </c>
      <c r="AA13" s="303">
        <v>25</v>
      </c>
      <c r="AB13" s="303">
        <v>26</v>
      </c>
      <c r="AC13" s="303">
        <v>27</v>
      </c>
      <c r="AD13" s="303">
        <v>28</v>
      </c>
      <c r="AE13" s="303">
        <v>29</v>
      </c>
      <c r="AF13" s="303">
        <v>30</v>
      </c>
      <c r="AG13" s="303">
        <v>31</v>
      </c>
      <c r="AH13" s="304" t="s">
        <v>131</v>
      </c>
    </row>
    <row r="14" spans="1:34" ht="35.1" customHeight="1" x14ac:dyDescent="0.25">
      <c r="A14" s="297" t="s">
        <v>89</v>
      </c>
      <c r="B14" s="294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9"/>
    </row>
    <row r="15" spans="1:34" ht="35.1" customHeight="1" thickBot="1" x14ac:dyDescent="0.3">
      <c r="A15" s="350" t="s">
        <v>18</v>
      </c>
      <c r="B15" s="351"/>
      <c r="C15" s="352"/>
      <c r="D15" s="352"/>
      <c r="E15" s="352"/>
      <c r="F15" s="352"/>
      <c r="G15" s="352"/>
      <c r="H15" s="352"/>
      <c r="I15" s="352"/>
      <c r="J15" s="352"/>
      <c r="K15" s="352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53"/>
    </row>
    <row r="16" spans="1:34" ht="35.1" customHeight="1" x14ac:dyDescent="0.25">
      <c r="A16" s="451" t="s">
        <v>83</v>
      </c>
      <c r="B16" s="299" t="s">
        <v>90</v>
      </c>
      <c r="C16" s="290"/>
      <c r="D16" s="290"/>
      <c r="E16" s="290"/>
      <c r="F16" s="290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1"/>
    </row>
    <row r="17" spans="1:34" ht="35.1" customHeight="1" x14ac:dyDescent="0.25">
      <c r="A17" s="452"/>
      <c r="B17" s="300" t="s">
        <v>91</v>
      </c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9"/>
    </row>
    <row r="18" spans="1:34" ht="35.1" customHeight="1" x14ac:dyDescent="0.25">
      <c r="A18" s="452"/>
      <c r="B18" s="300" t="s">
        <v>92</v>
      </c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9"/>
    </row>
    <row r="19" spans="1:34" ht="35.1" customHeight="1" thickBot="1" x14ac:dyDescent="0.3">
      <c r="A19" s="453"/>
      <c r="B19" s="354" t="s">
        <v>599</v>
      </c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355"/>
      <c r="AB19" s="355"/>
      <c r="AC19" s="355"/>
      <c r="AD19" s="355"/>
      <c r="AE19" s="355"/>
      <c r="AF19" s="355"/>
      <c r="AG19" s="355"/>
      <c r="AH19" s="356"/>
    </row>
    <row r="20" spans="1:34" ht="35.1" customHeight="1" x14ac:dyDescent="0.25">
      <c r="A20" s="357" t="s">
        <v>135</v>
      </c>
      <c r="B20" s="295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1"/>
    </row>
    <row r="21" spans="1:34" ht="35.1" customHeight="1" thickBot="1" x14ac:dyDescent="0.3">
      <c r="A21" s="298" t="s">
        <v>129</v>
      </c>
      <c r="B21" s="296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292"/>
      <c r="AG21" s="292"/>
      <c r="AH21" s="293"/>
    </row>
    <row r="24" spans="1:34" x14ac:dyDescent="0.25">
      <c r="A24" s="119"/>
    </row>
    <row r="25" spans="1:34" ht="15.75" x14ac:dyDescent="0.25">
      <c r="A25" s="449" t="s">
        <v>288</v>
      </c>
      <c r="B25" s="449"/>
      <c r="C25" s="328"/>
      <c r="D25" s="328"/>
      <c r="E25" s="449" t="s">
        <v>126</v>
      </c>
      <c r="F25" s="449"/>
      <c r="G25" s="449"/>
      <c r="H25" s="449"/>
      <c r="I25" s="449"/>
    </row>
    <row r="26" spans="1:34" ht="15.75" x14ac:dyDescent="0.25">
      <c r="A26" s="449" t="s">
        <v>127</v>
      </c>
      <c r="B26" s="449"/>
      <c r="C26" s="327"/>
      <c r="D26" s="327"/>
      <c r="E26" s="449" t="s">
        <v>128</v>
      </c>
      <c r="F26" s="449"/>
      <c r="G26" s="449"/>
      <c r="H26" s="449"/>
      <c r="I26" s="449"/>
    </row>
  </sheetData>
  <mergeCells count="12">
    <mergeCell ref="A1:AH1"/>
    <mergeCell ref="A2:AH2"/>
    <mergeCell ref="A3:AH3"/>
    <mergeCell ref="A12:AH12"/>
    <mergeCell ref="A10:N10"/>
    <mergeCell ref="A6:L6"/>
    <mergeCell ref="E25:I25"/>
    <mergeCell ref="E26:I26"/>
    <mergeCell ref="A9:I9"/>
    <mergeCell ref="A25:B25"/>
    <mergeCell ref="A26:B26"/>
    <mergeCell ref="A16:A19"/>
  </mergeCells>
  <pageMargins left="0.7" right="0.7" top="0.75" bottom="0.75" header="0.3" footer="0.3"/>
  <pageSetup paperSize="14" scale="7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9"/>
  <sheetViews>
    <sheetView tabSelected="1" workbookViewId="0">
      <selection activeCell="J19" sqref="J19"/>
    </sheetView>
  </sheetViews>
  <sheetFormatPr baseColWidth="10" defaultRowHeight="15" x14ac:dyDescent="0.25"/>
  <cols>
    <col min="1" max="1" width="68.42578125" customWidth="1"/>
    <col min="2" max="2" width="15.5703125" hidden="1" customWidth="1"/>
    <col min="3" max="4" width="11.42578125" hidden="1" customWidth="1"/>
    <col min="5" max="5" width="15" customWidth="1"/>
    <col min="6" max="6" width="14" customWidth="1"/>
  </cols>
  <sheetData>
    <row r="1" spans="1:6" ht="20.100000000000001" customHeight="1" x14ac:dyDescent="0.25">
      <c r="A1" s="379" t="s">
        <v>97</v>
      </c>
      <c r="B1" s="380"/>
      <c r="C1" s="380"/>
      <c r="D1" s="380"/>
      <c r="E1" s="380"/>
      <c r="F1" s="381"/>
    </row>
    <row r="2" spans="1:6" ht="20.100000000000001" customHeight="1" x14ac:dyDescent="0.25">
      <c r="A2" s="382" t="s">
        <v>87</v>
      </c>
      <c r="B2" s="383"/>
      <c r="C2" s="383"/>
      <c r="D2" s="383"/>
      <c r="E2" s="383"/>
      <c r="F2" s="384"/>
    </row>
    <row r="3" spans="1:6" ht="20.100000000000001" customHeight="1" thickBot="1" x14ac:dyDescent="0.3">
      <c r="A3" s="385" t="s">
        <v>289</v>
      </c>
      <c r="B3" s="386"/>
      <c r="C3" s="386"/>
      <c r="D3" s="386"/>
      <c r="E3" s="386"/>
      <c r="F3" s="387"/>
    </row>
    <row r="4" spans="1:6" ht="15" customHeight="1" x14ac:dyDescent="0.25">
      <c r="A4" s="210"/>
      <c r="B4" s="210"/>
    </row>
    <row r="5" spans="1:6" ht="15" customHeight="1" x14ac:dyDescent="0.25">
      <c r="A5" s="471" t="s">
        <v>647</v>
      </c>
      <c r="B5" s="471"/>
      <c r="C5" s="471"/>
      <c r="D5" s="471"/>
      <c r="E5" s="471"/>
    </row>
    <row r="6" spans="1:6" ht="15" customHeight="1" x14ac:dyDescent="0.25">
      <c r="A6" s="471" t="s">
        <v>645</v>
      </c>
      <c r="B6" s="471"/>
      <c r="C6" s="471"/>
      <c r="D6" s="471"/>
      <c r="E6" s="471"/>
    </row>
    <row r="7" spans="1:6" ht="15" customHeight="1" x14ac:dyDescent="0.25">
      <c r="A7" s="471" t="s">
        <v>626</v>
      </c>
      <c r="B7" s="471"/>
      <c r="C7" s="471"/>
      <c r="D7" s="471"/>
      <c r="E7" s="471"/>
    </row>
    <row r="8" spans="1:6" ht="15" customHeight="1" x14ac:dyDescent="0.25">
      <c r="A8" s="305" t="s">
        <v>636</v>
      </c>
      <c r="B8" s="306"/>
      <c r="C8" s="306"/>
      <c r="D8" s="306"/>
      <c r="E8" s="306"/>
    </row>
    <row r="9" spans="1:6" ht="15" customHeight="1" x14ac:dyDescent="0.25">
      <c r="A9" s="305"/>
      <c r="B9" s="306"/>
      <c r="C9" s="306"/>
      <c r="D9" s="306"/>
      <c r="E9" s="306"/>
    </row>
    <row r="10" spans="1:6" ht="15" customHeight="1" x14ac:dyDescent="0.25">
      <c r="A10" s="473" t="s">
        <v>538</v>
      </c>
      <c r="B10" s="473"/>
      <c r="C10" s="473"/>
      <c r="D10" s="473"/>
      <c r="E10" s="473"/>
    </row>
    <row r="11" spans="1:6" ht="39.950000000000003" customHeight="1" x14ac:dyDescent="0.25">
      <c r="A11" s="475" t="s">
        <v>309</v>
      </c>
      <c r="B11" s="476"/>
      <c r="C11" s="476"/>
      <c r="D11" s="477"/>
      <c r="E11" s="242" t="s">
        <v>586</v>
      </c>
      <c r="F11" s="242" t="s">
        <v>587</v>
      </c>
    </row>
    <row r="12" spans="1:6" ht="18.75" customHeight="1" x14ac:dyDescent="0.25">
      <c r="A12" s="470" t="s">
        <v>310</v>
      </c>
      <c r="B12" s="470"/>
      <c r="C12" s="470"/>
      <c r="D12" s="470"/>
      <c r="E12" s="470"/>
      <c r="F12" s="470"/>
    </row>
    <row r="13" spans="1:6" ht="24.95" customHeight="1" x14ac:dyDescent="0.25">
      <c r="A13" s="472" t="s">
        <v>272</v>
      </c>
      <c r="B13" s="472"/>
      <c r="C13" s="472"/>
      <c r="D13" s="472"/>
      <c r="E13" s="343"/>
      <c r="F13" s="343"/>
    </row>
    <row r="14" spans="1:6" ht="24.95" customHeight="1" x14ac:dyDescent="0.25">
      <c r="A14" s="472" t="s">
        <v>270</v>
      </c>
      <c r="B14" s="472"/>
      <c r="C14" s="472"/>
      <c r="D14" s="472"/>
      <c r="E14" s="323"/>
      <c r="F14" s="343"/>
    </row>
    <row r="15" spans="1:6" ht="24.95" customHeight="1" x14ac:dyDescent="0.25">
      <c r="A15" s="474" t="s">
        <v>271</v>
      </c>
      <c r="B15" s="474"/>
      <c r="C15" s="474"/>
      <c r="D15" s="474"/>
      <c r="E15" s="344"/>
      <c r="F15" s="344"/>
    </row>
    <row r="16" spans="1:6" ht="24.95" customHeight="1" x14ac:dyDescent="0.25">
      <c r="A16" s="468"/>
      <c r="B16" s="469"/>
      <c r="C16" s="469"/>
      <c r="D16" s="469"/>
      <c r="E16" s="469"/>
      <c r="F16" s="469"/>
    </row>
    <row r="17" spans="1:6" ht="24.95" customHeight="1" x14ac:dyDescent="0.25">
      <c r="A17" s="470" t="s">
        <v>311</v>
      </c>
      <c r="B17" s="470"/>
      <c r="C17" s="470"/>
      <c r="D17" s="470"/>
      <c r="E17" s="470"/>
      <c r="F17" s="470"/>
    </row>
    <row r="18" spans="1:6" ht="24.95" customHeight="1" x14ac:dyDescent="0.25">
      <c r="A18" s="472" t="s">
        <v>312</v>
      </c>
      <c r="B18" s="472"/>
      <c r="C18" s="472"/>
      <c r="D18" s="472"/>
      <c r="E18" s="323"/>
      <c r="F18" s="323"/>
    </row>
    <row r="19" spans="1:6" ht="20.100000000000001" customHeight="1" x14ac:dyDescent="0.25">
      <c r="A19" s="472" t="s">
        <v>313</v>
      </c>
      <c r="B19" s="472"/>
      <c r="C19" s="472"/>
      <c r="D19" s="472"/>
      <c r="E19" s="323"/>
      <c r="F19" s="323"/>
    </row>
    <row r="20" spans="1:6" ht="24.95" customHeight="1" x14ac:dyDescent="0.25">
      <c r="A20" s="474" t="s">
        <v>271</v>
      </c>
      <c r="B20" s="474"/>
      <c r="C20" s="474"/>
      <c r="D20" s="474"/>
      <c r="E20" s="344"/>
      <c r="F20" s="344"/>
    </row>
    <row r="21" spans="1:6" ht="24.95" customHeight="1" x14ac:dyDescent="0.25">
      <c r="A21" s="481"/>
      <c r="B21" s="482"/>
      <c r="C21" s="482"/>
      <c r="D21" s="482"/>
      <c r="E21" s="482"/>
      <c r="F21" s="482"/>
    </row>
    <row r="22" spans="1:6" ht="24.95" customHeight="1" x14ac:dyDescent="0.25">
      <c r="A22" s="483" t="s">
        <v>314</v>
      </c>
      <c r="B22" s="484"/>
      <c r="C22" s="484"/>
      <c r="D22" s="484"/>
      <c r="E22" s="484"/>
      <c r="F22" s="484"/>
    </row>
    <row r="23" spans="1:6" ht="24.95" customHeight="1" x14ac:dyDescent="0.25">
      <c r="A23" s="472" t="s">
        <v>315</v>
      </c>
      <c r="B23" s="472"/>
      <c r="C23" s="472"/>
      <c r="D23" s="472"/>
      <c r="E23" s="345"/>
      <c r="F23" s="345"/>
    </row>
    <row r="24" spans="1:6" ht="24.95" customHeight="1" x14ac:dyDescent="0.25">
      <c r="A24" s="472" t="s">
        <v>316</v>
      </c>
      <c r="B24" s="472"/>
      <c r="C24" s="472"/>
      <c r="D24" s="472"/>
      <c r="E24" s="345"/>
      <c r="F24" s="345"/>
    </row>
    <row r="25" spans="1:6" ht="24.95" customHeight="1" x14ac:dyDescent="0.25">
      <c r="A25" s="472" t="s">
        <v>317</v>
      </c>
      <c r="B25" s="472"/>
      <c r="C25" s="472"/>
      <c r="D25" s="472"/>
      <c r="E25" s="345"/>
      <c r="F25" s="345"/>
    </row>
    <row r="26" spans="1:6" ht="24.75" customHeight="1" x14ac:dyDescent="0.25">
      <c r="A26" s="472" t="s">
        <v>318</v>
      </c>
      <c r="B26" s="472"/>
      <c r="C26" s="472"/>
      <c r="D26" s="472"/>
      <c r="E26" s="323"/>
      <c r="F26" s="345"/>
    </row>
    <row r="27" spans="1:6" ht="24.95" customHeight="1" x14ac:dyDescent="0.25">
      <c r="A27" s="478" t="s">
        <v>271</v>
      </c>
      <c r="B27" s="479"/>
      <c r="C27" s="479"/>
      <c r="D27" s="480"/>
      <c r="E27" s="346"/>
      <c r="F27" s="346"/>
    </row>
    <row r="28" spans="1:6" ht="24.95" customHeight="1" x14ac:dyDescent="0.25">
      <c r="A28" s="468"/>
      <c r="B28" s="469"/>
      <c r="C28" s="469"/>
      <c r="D28" s="469"/>
      <c r="E28" s="469"/>
      <c r="F28" s="469"/>
    </row>
    <row r="29" spans="1:6" ht="24.95" customHeight="1" x14ac:dyDescent="0.25">
      <c r="A29" s="470" t="s">
        <v>319</v>
      </c>
      <c r="B29" s="470"/>
      <c r="C29" s="470"/>
      <c r="D29" s="470"/>
      <c r="E29" s="470"/>
      <c r="F29" s="470"/>
    </row>
    <row r="30" spans="1:6" ht="24.95" customHeight="1" x14ac:dyDescent="0.25">
      <c r="A30" s="472" t="s">
        <v>320</v>
      </c>
      <c r="B30" s="472"/>
      <c r="C30" s="472"/>
      <c r="D30" s="472"/>
      <c r="E30" s="345"/>
      <c r="F30" s="345"/>
    </row>
    <row r="31" spans="1:6" ht="24.95" customHeight="1" x14ac:dyDescent="0.25">
      <c r="A31" s="472" t="s">
        <v>321</v>
      </c>
      <c r="B31" s="472"/>
      <c r="C31" s="472"/>
      <c r="D31" s="472"/>
      <c r="E31" s="345"/>
      <c r="F31" s="345"/>
    </row>
    <row r="32" spans="1:6" ht="24.95" customHeight="1" x14ac:dyDescent="0.25">
      <c r="A32" s="472" t="s">
        <v>322</v>
      </c>
      <c r="B32" s="472"/>
      <c r="C32" s="472"/>
      <c r="D32" s="472"/>
      <c r="E32" s="333"/>
      <c r="F32" s="345"/>
    </row>
    <row r="33" spans="1:6" ht="24.95" customHeight="1" x14ac:dyDescent="0.25">
      <c r="A33" s="472" t="s">
        <v>323</v>
      </c>
      <c r="B33" s="472"/>
      <c r="C33" s="472"/>
      <c r="D33" s="472"/>
      <c r="E33" s="347"/>
      <c r="F33" s="345"/>
    </row>
    <row r="34" spans="1:6" ht="24.95" customHeight="1" x14ac:dyDescent="0.25">
      <c r="A34" s="474" t="s">
        <v>271</v>
      </c>
      <c r="B34" s="474"/>
      <c r="C34" s="474"/>
      <c r="D34" s="474"/>
      <c r="E34" s="346"/>
      <c r="F34" s="346"/>
    </row>
    <row r="35" spans="1:6" ht="24.95" customHeight="1" x14ac:dyDescent="0.25"/>
    <row r="36" spans="1:6" ht="24.95" customHeight="1" x14ac:dyDescent="0.25"/>
    <row r="37" spans="1:6" ht="24.95" customHeight="1" x14ac:dyDescent="0.25">
      <c r="A37" s="325" t="s">
        <v>288</v>
      </c>
      <c r="B37" s="120" t="s">
        <v>126</v>
      </c>
      <c r="C37" s="120"/>
      <c r="D37" s="120"/>
      <c r="E37" s="325" t="s">
        <v>126</v>
      </c>
    </row>
    <row r="38" spans="1:6" ht="24.95" customHeight="1" x14ac:dyDescent="0.25">
      <c r="A38" s="325" t="s">
        <v>127</v>
      </c>
      <c r="B38" s="120" t="s">
        <v>128</v>
      </c>
      <c r="C38" s="120"/>
      <c r="D38" s="120"/>
      <c r="E38" s="325" t="s">
        <v>128</v>
      </c>
    </row>
    <row r="39" spans="1:6" ht="24.95" customHeight="1" x14ac:dyDescent="0.25"/>
    <row r="40" spans="1:6" ht="24.95" customHeight="1" x14ac:dyDescent="0.25"/>
    <row r="41" spans="1:6" ht="24.95" customHeight="1" x14ac:dyDescent="0.25"/>
    <row r="42" spans="1:6" ht="24.95" customHeight="1" x14ac:dyDescent="0.25"/>
    <row r="43" spans="1:6" ht="24.95" customHeight="1" x14ac:dyDescent="0.25"/>
    <row r="44" spans="1:6" ht="24.95" customHeight="1" x14ac:dyDescent="0.25"/>
    <row r="45" spans="1:6" ht="24.95" customHeight="1" x14ac:dyDescent="0.25"/>
    <row r="46" spans="1:6" ht="24.95" customHeight="1" x14ac:dyDescent="0.25"/>
    <row r="47" spans="1:6" ht="24.95" customHeight="1" x14ac:dyDescent="0.25"/>
    <row r="48" spans="1:6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</sheetData>
  <mergeCells count="31">
    <mergeCell ref="A34:D34"/>
    <mergeCell ref="A33:D33"/>
    <mergeCell ref="A11:D11"/>
    <mergeCell ref="A15:D15"/>
    <mergeCell ref="A20:D20"/>
    <mergeCell ref="A27:D27"/>
    <mergeCell ref="A30:D30"/>
    <mergeCell ref="A31:D31"/>
    <mergeCell ref="A17:F17"/>
    <mergeCell ref="A21:F21"/>
    <mergeCell ref="A32:D32"/>
    <mergeCell ref="A23:D23"/>
    <mergeCell ref="A24:D24"/>
    <mergeCell ref="A25:D25"/>
    <mergeCell ref="A26:D26"/>
    <mergeCell ref="A22:F22"/>
    <mergeCell ref="A28:F28"/>
    <mergeCell ref="A29:F29"/>
    <mergeCell ref="A1:F1"/>
    <mergeCell ref="A2:F2"/>
    <mergeCell ref="A3:F3"/>
    <mergeCell ref="A5:E5"/>
    <mergeCell ref="A6:E6"/>
    <mergeCell ref="A18:D18"/>
    <mergeCell ref="A19:D19"/>
    <mergeCell ref="A13:D13"/>
    <mergeCell ref="A14:D14"/>
    <mergeCell ref="A10:E10"/>
    <mergeCell ref="A7:E7"/>
    <mergeCell ref="A12:F12"/>
    <mergeCell ref="A16:F16"/>
  </mergeCells>
  <pageMargins left="1.17" right="0.3" top="0.75" bottom="0.42" header="0.3" footer="0.3"/>
  <pageSetup paperSize="14" scale="8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8"/>
  <sheetViews>
    <sheetView topLeftCell="A16" zoomScale="110" zoomScaleNormal="110" workbookViewId="0">
      <selection activeCell="A4" sqref="A4"/>
    </sheetView>
  </sheetViews>
  <sheetFormatPr baseColWidth="10" defaultColWidth="11.42578125" defaultRowHeight="15" x14ac:dyDescent="0.25"/>
  <cols>
    <col min="1" max="1" width="68.28515625" style="189" bestFit="1" customWidth="1"/>
    <col min="2" max="2" width="22.140625" customWidth="1"/>
  </cols>
  <sheetData>
    <row r="1" spans="1:5" ht="20.100000000000001" customHeight="1" x14ac:dyDescent="0.25">
      <c r="A1" s="389" t="s">
        <v>97</v>
      </c>
      <c r="B1" s="390"/>
    </row>
    <row r="2" spans="1:5" ht="20.100000000000001" customHeight="1" x14ac:dyDescent="0.25">
      <c r="A2" s="391" t="s">
        <v>87</v>
      </c>
      <c r="B2" s="392"/>
    </row>
    <row r="3" spans="1:5" ht="20.100000000000001" customHeight="1" thickBot="1" x14ac:dyDescent="0.3">
      <c r="A3" s="393" t="s">
        <v>289</v>
      </c>
      <c r="B3" s="394"/>
    </row>
    <row r="4" spans="1:5" x14ac:dyDescent="0.25">
      <c r="A4" s="249" t="s">
        <v>646</v>
      </c>
      <c r="B4" s="249"/>
    </row>
    <row r="5" spans="1:5" x14ac:dyDescent="0.25">
      <c r="A5" s="249" t="s">
        <v>645</v>
      </c>
      <c r="B5" s="249"/>
    </row>
    <row r="6" spans="1:5" x14ac:dyDescent="0.25">
      <c r="A6" s="249" t="s">
        <v>620</v>
      </c>
      <c r="B6" s="249"/>
    </row>
    <row r="7" spans="1:5" x14ac:dyDescent="0.25">
      <c r="A7" s="205" t="s">
        <v>635</v>
      </c>
      <c r="B7" s="205"/>
    </row>
    <row r="8" spans="1:5" ht="15.75" x14ac:dyDescent="0.25">
      <c r="A8" s="418" t="s">
        <v>301</v>
      </c>
      <c r="B8" s="418"/>
    </row>
    <row r="9" spans="1:5" ht="15" customHeight="1" x14ac:dyDescent="0.25">
      <c r="A9" s="314" t="s">
        <v>403</v>
      </c>
      <c r="B9" s="313" t="s">
        <v>131</v>
      </c>
    </row>
    <row r="10" spans="1:5" ht="12" customHeight="1" x14ac:dyDescent="0.25">
      <c r="A10" s="309" t="s">
        <v>157</v>
      </c>
      <c r="B10" s="231"/>
      <c r="C10" s="222"/>
      <c r="D10" s="222"/>
      <c r="E10" s="222"/>
    </row>
    <row r="11" spans="1:5" ht="12" customHeight="1" x14ac:dyDescent="0.25">
      <c r="A11" s="307" t="s">
        <v>324</v>
      </c>
      <c r="B11" s="220"/>
      <c r="C11" s="223"/>
      <c r="D11" s="223"/>
      <c r="E11" s="223"/>
    </row>
    <row r="12" spans="1:5" ht="12" customHeight="1" x14ac:dyDescent="0.25">
      <c r="A12" s="307" t="s">
        <v>325</v>
      </c>
      <c r="B12" s="220"/>
      <c r="C12" s="223"/>
      <c r="D12" s="223"/>
      <c r="E12" s="223"/>
    </row>
    <row r="13" spans="1:5" ht="12" customHeight="1" x14ac:dyDescent="0.25">
      <c r="A13" s="307" t="s">
        <v>326</v>
      </c>
      <c r="B13" s="220"/>
      <c r="C13" s="223"/>
      <c r="D13" s="223"/>
      <c r="E13" s="223"/>
    </row>
    <row r="14" spans="1:5" ht="12" customHeight="1" x14ac:dyDescent="0.25">
      <c r="A14" s="307" t="s">
        <v>327</v>
      </c>
      <c r="B14" s="220"/>
      <c r="C14" s="223"/>
      <c r="D14" s="223"/>
      <c r="E14" s="223"/>
    </row>
    <row r="15" spans="1:5" ht="12" customHeight="1" x14ac:dyDescent="0.25">
      <c r="A15" s="307" t="s">
        <v>328</v>
      </c>
      <c r="B15" s="220"/>
      <c r="C15" s="223"/>
      <c r="D15" s="223"/>
      <c r="E15" s="223"/>
    </row>
    <row r="16" spans="1:5" ht="12" customHeight="1" x14ac:dyDescent="0.25">
      <c r="A16" s="307" t="s">
        <v>329</v>
      </c>
      <c r="B16" s="220"/>
      <c r="C16" s="223"/>
      <c r="D16" s="223"/>
      <c r="E16" s="223"/>
    </row>
    <row r="17" spans="1:38" ht="12" customHeight="1" x14ac:dyDescent="0.25">
      <c r="A17" s="307" t="s">
        <v>330</v>
      </c>
      <c r="B17" s="220"/>
      <c r="C17" s="223"/>
      <c r="D17" s="223"/>
      <c r="E17" s="223"/>
    </row>
    <row r="18" spans="1:38" ht="12" customHeight="1" x14ac:dyDescent="0.25">
      <c r="A18" s="307" t="s">
        <v>331</v>
      </c>
      <c r="B18" s="220"/>
      <c r="C18" s="223"/>
      <c r="D18" s="223"/>
      <c r="E18" s="223"/>
    </row>
    <row r="19" spans="1:38" ht="12" customHeight="1" x14ac:dyDescent="0.25">
      <c r="A19" s="308" t="s">
        <v>332</v>
      </c>
      <c r="B19" s="220"/>
      <c r="C19" s="223"/>
      <c r="D19" s="223"/>
      <c r="E19" s="223"/>
    </row>
    <row r="20" spans="1:38" ht="12" customHeight="1" x14ac:dyDescent="0.25">
      <c r="A20" s="229" t="s">
        <v>402</v>
      </c>
      <c r="B20" s="230"/>
    </row>
    <row r="21" spans="1:38" ht="12" customHeight="1" x14ac:dyDescent="0.25">
      <c r="A21" s="307" t="s">
        <v>333</v>
      </c>
      <c r="B21" s="220"/>
      <c r="C21" s="223"/>
      <c r="D21" s="223"/>
      <c r="E21" s="223"/>
    </row>
    <row r="22" spans="1:38" ht="12" customHeight="1" x14ac:dyDescent="0.25">
      <c r="A22" s="307" t="s">
        <v>334</v>
      </c>
      <c r="B22" s="220"/>
      <c r="C22" s="223"/>
      <c r="D22" s="223"/>
      <c r="E22" s="223"/>
    </row>
    <row r="23" spans="1:38" ht="12" customHeight="1" x14ac:dyDescent="0.25">
      <c r="A23" s="307" t="s">
        <v>335</v>
      </c>
      <c r="B23" s="220"/>
      <c r="C23" s="223"/>
      <c r="D23" s="223"/>
      <c r="E23" s="223"/>
    </row>
    <row r="24" spans="1:38" ht="12" customHeight="1" x14ac:dyDescent="0.25">
      <c r="A24" s="307" t="s">
        <v>600</v>
      </c>
      <c r="B24" s="220"/>
      <c r="C24" s="223"/>
      <c r="D24" s="223"/>
      <c r="E24" s="223"/>
    </row>
    <row r="25" spans="1:38" ht="12" customHeight="1" x14ac:dyDescent="0.25">
      <c r="A25" s="308" t="s">
        <v>601</v>
      </c>
      <c r="B25" s="219"/>
      <c r="C25" s="224"/>
      <c r="D25" s="224"/>
      <c r="E25" s="224"/>
    </row>
    <row r="26" spans="1:38" ht="12" customHeight="1" x14ac:dyDescent="0.25">
      <c r="A26" s="308" t="s">
        <v>602</v>
      </c>
      <c r="B26" s="219"/>
      <c r="C26" s="224"/>
      <c r="D26" s="224"/>
      <c r="E26" s="224"/>
    </row>
    <row r="27" spans="1:38" ht="12" customHeight="1" x14ac:dyDescent="0.25">
      <c r="A27" s="308" t="s">
        <v>603</v>
      </c>
      <c r="B27" s="219"/>
      <c r="C27" s="224"/>
      <c r="D27" s="224"/>
      <c r="E27" s="224"/>
    </row>
    <row r="28" spans="1:38" ht="12" customHeight="1" x14ac:dyDescent="0.25">
      <c r="A28" s="308" t="s">
        <v>604</v>
      </c>
      <c r="B28" s="219"/>
      <c r="C28" s="224"/>
      <c r="D28" s="224"/>
      <c r="E28" s="224"/>
    </row>
    <row r="29" spans="1:38" ht="12" customHeight="1" x14ac:dyDescent="0.25">
      <c r="A29" s="311" t="s">
        <v>605</v>
      </c>
      <c r="B29" s="220"/>
      <c r="C29" s="223"/>
      <c r="D29" s="223"/>
      <c r="E29" s="223"/>
    </row>
    <row r="30" spans="1:38" ht="12" customHeight="1" x14ac:dyDescent="0.25">
      <c r="A30" s="309" t="s">
        <v>176</v>
      </c>
      <c r="B30" s="231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</row>
    <row r="31" spans="1:38" ht="12" customHeight="1" x14ac:dyDescent="0.25">
      <c r="A31" s="307" t="s">
        <v>336</v>
      </c>
      <c r="B31" s="220"/>
      <c r="C31" s="223"/>
      <c r="D31" s="223"/>
      <c r="E31" s="223"/>
    </row>
    <row r="32" spans="1:38" ht="12" customHeight="1" x14ac:dyDescent="0.25">
      <c r="A32" s="307" t="s">
        <v>337</v>
      </c>
      <c r="B32" s="220"/>
      <c r="C32" s="223"/>
      <c r="D32" s="223"/>
      <c r="E32" s="223"/>
    </row>
    <row r="33" spans="1:38" ht="12" customHeight="1" x14ac:dyDescent="0.25">
      <c r="A33" s="310" t="s">
        <v>179</v>
      </c>
      <c r="B33" s="232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</row>
    <row r="34" spans="1:38" ht="12" customHeight="1" x14ac:dyDescent="0.25">
      <c r="A34" s="308" t="s">
        <v>338</v>
      </c>
      <c r="B34" s="219"/>
      <c r="C34" s="224"/>
      <c r="D34" s="224"/>
      <c r="E34" s="224"/>
    </row>
    <row r="35" spans="1:38" ht="12" customHeight="1" x14ac:dyDescent="0.25">
      <c r="A35" s="308" t="s">
        <v>339</v>
      </c>
      <c r="B35" s="219"/>
      <c r="C35" s="224"/>
      <c r="D35" s="224"/>
      <c r="E35" s="224"/>
    </row>
    <row r="36" spans="1:38" ht="12" customHeight="1" x14ac:dyDescent="0.25">
      <c r="A36" s="307" t="s">
        <v>340</v>
      </c>
      <c r="B36" s="220"/>
      <c r="C36" s="223"/>
      <c r="D36" s="223"/>
      <c r="E36" s="223"/>
    </row>
    <row r="37" spans="1:38" ht="12" customHeight="1" x14ac:dyDescent="0.25">
      <c r="A37" s="308" t="s">
        <v>341</v>
      </c>
      <c r="B37" s="219"/>
      <c r="C37" s="224"/>
      <c r="D37" s="224"/>
      <c r="E37" s="224"/>
    </row>
    <row r="38" spans="1:38" ht="12" customHeight="1" x14ac:dyDescent="0.25">
      <c r="A38" s="308" t="s">
        <v>342</v>
      </c>
      <c r="B38" s="219"/>
      <c r="C38" s="224"/>
      <c r="D38" s="224"/>
      <c r="E38" s="224"/>
    </row>
    <row r="39" spans="1:38" ht="12" customHeight="1" x14ac:dyDescent="0.25">
      <c r="A39" s="308" t="s">
        <v>343</v>
      </c>
      <c r="B39" s="219"/>
      <c r="C39" s="224"/>
      <c r="D39" s="224"/>
      <c r="E39" s="224"/>
    </row>
    <row r="40" spans="1:38" ht="12" customHeight="1" x14ac:dyDescent="0.25">
      <c r="A40" s="307" t="s">
        <v>344</v>
      </c>
      <c r="B40" s="220"/>
      <c r="C40" s="223"/>
      <c r="D40" s="223"/>
      <c r="E40" s="223"/>
    </row>
    <row r="41" spans="1:38" ht="12" customHeight="1" x14ac:dyDescent="0.25">
      <c r="A41" s="309" t="s">
        <v>187</v>
      </c>
      <c r="B41" s="24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38" ht="12" customHeight="1" x14ac:dyDescent="0.25">
      <c r="A42" s="307" t="s">
        <v>345</v>
      </c>
      <c r="B42" s="220"/>
      <c r="C42" s="223"/>
      <c r="D42" s="223"/>
      <c r="E42" s="223"/>
    </row>
    <row r="43" spans="1:38" ht="12" customHeight="1" x14ac:dyDescent="0.25">
      <c r="A43" s="308" t="s">
        <v>346</v>
      </c>
      <c r="B43" s="219"/>
      <c r="C43" s="224"/>
      <c r="D43" s="224"/>
      <c r="E43" s="224"/>
    </row>
    <row r="44" spans="1:38" ht="12" customHeight="1" x14ac:dyDescent="0.25">
      <c r="A44" s="307" t="s">
        <v>347</v>
      </c>
      <c r="B44" s="220"/>
      <c r="C44" s="223"/>
      <c r="D44" s="223"/>
      <c r="E44" s="223"/>
    </row>
    <row r="45" spans="1:38" ht="24.75" customHeight="1" x14ac:dyDescent="0.25">
      <c r="A45" s="307" t="s">
        <v>348</v>
      </c>
      <c r="B45" s="220"/>
      <c r="C45" s="223"/>
      <c r="D45" s="223"/>
      <c r="E45" s="223"/>
    </row>
    <row r="46" spans="1:38" ht="12" customHeight="1" x14ac:dyDescent="0.25">
      <c r="A46" s="309" t="s">
        <v>192</v>
      </c>
      <c r="B46" s="247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</row>
    <row r="47" spans="1:38" ht="12" customHeight="1" x14ac:dyDescent="0.25">
      <c r="A47" s="307" t="s">
        <v>349</v>
      </c>
      <c r="B47" s="220"/>
      <c r="C47" s="223"/>
      <c r="D47" s="223"/>
      <c r="E47" s="223"/>
    </row>
    <row r="48" spans="1:38" ht="12" customHeight="1" x14ac:dyDescent="0.25">
      <c r="A48" s="308" t="s">
        <v>350</v>
      </c>
      <c r="B48" s="219"/>
      <c r="C48" s="224"/>
      <c r="D48" s="224"/>
      <c r="E48" s="224"/>
    </row>
    <row r="49" spans="1:5" ht="12" customHeight="1" x14ac:dyDescent="0.25">
      <c r="A49" s="307" t="s">
        <v>351</v>
      </c>
      <c r="B49" s="220"/>
      <c r="C49" s="223"/>
      <c r="D49" s="223"/>
      <c r="E49" s="223"/>
    </row>
    <row r="50" spans="1:5" ht="12" customHeight="1" x14ac:dyDescent="0.25">
      <c r="A50" s="307" t="s">
        <v>352</v>
      </c>
      <c r="B50" s="220"/>
      <c r="C50" s="223"/>
      <c r="D50" s="223"/>
      <c r="E50" s="223"/>
    </row>
    <row r="51" spans="1:5" ht="12" customHeight="1" x14ac:dyDescent="0.25">
      <c r="A51" s="307" t="s">
        <v>353</v>
      </c>
      <c r="B51" s="220"/>
      <c r="C51" s="223"/>
      <c r="D51" s="223"/>
      <c r="E51" s="223"/>
    </row>
    <row r="52" spans="1:5" ht="12" customHeight="1" x14ac:dyDescent="0.25">
      <c r="A52" s="307" t="s">
        <v>354</v>
      </c>
      <c r="B52" s="220"/>
      <c r="C52" s="223"/>
      <c r="D52" s="223"/>
      <c r="E52" s="223"/>
    </row>
    <row r="53" spans="1:5" ht="12" customHeight="1" x14ac:dyDescent="0.25">
      <c r="A53" s="307" t="s">
        <v>355</v>
      </c>
      <c r="B53" s="220"/>
      <c r="C53" s="223"/>
      <c r="D53" s="223"/>
      <c r="E53" s="223"/>
    </row>
    <row r="54" spans="1:5" ht="12" customHeight="1" x14ac:dyDescent="0.25">
      <c r="A54" s="307" t="s">
        <v>356</v>
      </c>
      <c r="B54" s="220"/>
      <c r="C54" s="223"/>
      <c r="D54" s="223"/>
      <c r="E54" s="223"/>
    </row>
    <row r="55" spans="1:5" ht="12" customHeight="1" x14ac:dyDescent="0.25">
      <c r="A55" s="309" t="s">
        <v>200</v>
      </c>
      <c r="B55" s="248"/>
    </row>
    <row r="56" spans="1:5" ht="12" customHeight="1" x14ac:dyDescent="0.25">
      <c r="A56" s="358" t="s">
        <v>357</v>
      </c>
      <c r="B56" s="220"/>
      <c r="C56" s="223"/>
      <c r="D56" s="223"/>
      <c r="E56" s="223"/>
    </row>
    <row r="57" spans="1:5" ht="12" customHeight="1" x14ac:dyDescent="0.25">
      <c r="A57" s="358" t="s">
        <v>607</v>
      </c>
      <c r="B57" s="220"/>
      <c r="C57" s="223"/>
      <c r="D57" s="223"/>
      <c r="E57" s="223"/>
    </row>
    <row r="58" spans="1:5" ht="12" customHeight="1" x14ac:dyDescent="0.25">
      <c r="A58" s="359" t="s">
        <v>606</v>
      </c>
      <c r="B58" s="219"/>
      <c r="C58" s="224"/>
      <c r="D58" s="224"/>
      <c r="E58" s="224"/>
    </row>
    <row r="59" spans="1:5" ht="12" customHeight="1" x14ac:dyDescent="0.25">
      <c r="A59" s="359" t="s">
        <v>615</v>
      </c>
      <c r="B59" s="219"/>
      <c r="C59" s="224"/>
      <c r="D59" s="224"/>
      <c r="E59" s="224"/>
    </row>
    <row r="60" spans="1:5" ht="12" customHeight="1" x14ac:dyDescent="0.25">
      <c r="A60" s="358" t="s">
        <v>358</v>
      </c>
      <c r="B60" s="220"/>
      <c r="C60" s="223"/>
      <c r="D60" s="223"/>
      <c r="E60" s="223"/>
    </row>
    <row r="61" spans="1:5" ht="12" customHeight="1" x14ac:dyDescent="0.25">
      <c r="A61"/>
    </row>
    <row r="62" spans="1:5" ht="12" hidden="1" customHeight="1" thickBot="1" x14ac:dyDescent="0.3">
      <c r="A62" s="208"/>
      <c r="B62" s="209"/>
    </row>
    <row r="63" spans="1:5" ht="12" customHeight="1" x14ac:dyDescent="0.25">
      <c r="A63" s="331" t="s">
        <v>288</v>
      </c>
      <c r="B63" s="331" t="s">
        <v>126</v>
      </c>
    </row>
    <row r="64" spans="1:5" ht="12" customHeight="1" x14ac:dyDescent="0.25">
      <c r="A64" s="331" t="s">
        <v>127</v>
      </c>
      <c r="B64" s="331" t="s">
        <v>128</v>
      </c>
    </row>
    <row r="65" spans="1:5" ht="12" customHeight="1" x14ac:dyDescent="0.25">
      <c r="A65"/>
    </row>
    <row r="66" spans="1:5" ht="12" customHeight="1" thickBot="1" x14ac:dyDescent="0.3">
      <c r="A66"/>
    </row>
    <row r="67" spans="1:5" ht="20.100000000000001" customHeight="1" x14ac:dyDescent="0.25">
      <c r="A67" s="389" t="s">
        <v>97</v>
      </c>
      <c r="B67" s="390"/>
    </row>
    <row r="68" spans="1:5" ht="20.100000000000001" customHeight="1" x14ac:dyDescent="0.25">
      <c r="A68" s="391" t="s">
        <v>87</v>
      </c>
      <c r="B68" s="392"/>
    </row>
    <row r="69" spans="1:5" ht="20.100000000000001" customHeight="1" thickBot="1" x14ac:dyDescent="0.3">
      <c r="A69" s="393" t="s">
        <v>289</v>
      </c>
      <c r="B69" s="394"/>
    </row>
    <row r="70" spans="1:5" x14ac:dyDescent="0.25">
      <c r="A70" s="249" t="s">
        <v>655</v>
      </c>
      <c r="B70" s="249"/>
    </row>
    <row r="71" spans="1:5" x14ac:dyDescent="0.25">
      <c r="A71" s="249" t="s">
        <v>645</v>
      </c>
      <c r="B71" s="249"/>
    </row>
    <row r="72" spans="1:5" x14ac:dyDescent="0.25">
      <c r="A72" s="249" t="s">
        <v>620</v>
      </c>
      <c r="B72" s="249"/>
    </row>
    <row r="73" spans="1:5" x14ac:dyDescent="0.25">
      <c r="A73" s="205" t="s">
        <v>627</v>
      </c>
      <c r="B73" s="205"/>
    </row>
    <row r="74" spans="1:5" ht="18" customHeight="1" x14ac:dyDescent="0.25">
      <c r="A74" s="418" t="s">
        <v>300</v>
      </c>
      <c r="B74" s="418"/>
    </row>
    <row r="75" spans="1:5" ht="15" customHeight="1" x14ac:dyDescent="0.25">
      <c r="A75" s="314" t="s">
        <v>403</v>
      </c>
      <c r="B75" s="313" t="s">
        <v>131</v>
      </c>
    </row>
    <row r="76" spans="1:5" ht="12" customHeight="1" x14ac:dyDescent="0.25">
      <c r="A76" s="485" t="s">
        <v>205</v>
      </c>
      <c r="B76" s="485"/>
    </row>
    <row r="77" spans="1:5" ht="27" customHeight="1" x14ac:dyDescent="0.25">
      <c r="A77" s="307" t="s">
        <v>359</v>
      </c>
      <c r="B77" s="307"/>
      <c r="C77" s="223"/>
      <c r="D77" s="223"/>
      <c r="E77" s="223"/>
    </row>
    <row r="78" spans="1:5" ht="12" customHeight="1" x14ac:dyDescent="0.25">
      <c r="A78" s="307" t="s">
        <v>360</v>
      </c>
      <c r="B78" s="307"/>
      <c r="C78" s="223"/>
      <c r="D78" s="223"/>
      <c r="E78" s="223"/>
    </row>
    <row r="79" spans="1:5" ht="12" customHeight="1" x14ac:dyDescent="0.25">
      <c r="A79" s="307" t="s">
        <v>361</v>
      </c>
      <c r="B79" s="307"/>
      <c r="C79" s="223"/>
      <c r="D79" s="223"/>
      <c r="E79" s="223"/>
    </row>
    <row r="80" spans="1:5" ht="12" customHeight="1" x14ac:dyDescent="0.25">
      <c r="A80" s="307" t="s">
        <v>362</v>
      </c>
      <c r="B80" s="307"/>
      <c r="C80" s="223"/>
      <c r="D80" s="223"/>
      <c r="E80" s="223"/>
    </row>
    <row r="81" spans="1:38" ht="12" customHeight="1" x14ac:dyDescent="0.25">
      <c r="A81" s="307" t="s">
        <v>363</v>
      </c>
      <c r="B81" s="307"/>
      <c r="C81" s="223"/>
      <c r="D81" s="223"/>
      <c r="E81" s="223"/>
    </row>
    <row r="82" spans="1:38" ht="12" customHeight="1" x14ac:dyDescent="0.25">
      <c r="A82" s="309" t="s">
        <v>210</v>
      </c>
      <c r="B82" s="309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</row>
    <row r="83" spans="1:38" ht="12" customHeight="1" x14ac:dyDescent="0.25">
      <c r="A83" s="307" t="s">
        <v>364</v>
      </c>
      <c r="B83" s="307"/>
      <c r="C83" s="223"/>
      <c r="D83" s="223"/>
      <c r="E83" s="223"/>
      <c r="F83" s="224"/>
    </row>
    <row r="84" spans="1:38" ht="12" customHeight="1" x14ac:dyDescent="0.25">
      <c r="A84" s="307" t="s">
        <v>365</v>
      </c>
      <c r="B84" s="307"/>
      <c r="C84" s="223"/>
      <c r="D84" s="223"/>
      <c r="E84" s="223"/>
      <c r="F84" s="224"/>
    </row>
    <row r="85" spans="1:38" ht="12" customHeight="1" x14ac:dyDescent="0.25">
      <c r="A85" s="307" t="s">
        <v>366</v>
      </c>
      <c r="B85" s="307"/>
      <c r="C85" s="223"/>
      <c r="D85" s="223"/>
      <c r="E85" s="223"/>
      <c r="F85" s="223"/>
    </row>
    <row r="86" spans="1:38" ht="24.75" customHeight="1" x14ac:dyDescent="0.25">
      <c r="A86" s="307" t="s">
        <v>367</v>
      </c>
      <c r="B86" s="308"/>
    </row>
    <row r="87" spans="1:38" ht="12" customHeight="1" x14ac:dyDescent="0.25">
      <c r="A87" s="307" t="s">
        <v>368</v>
      </c>
      <c r="B87" s="307"/>
      <c r="C87" s="223"/>
      <c r="D87" s="223"/>
      <c r="E87" s="223"/>
      <c r="F87" s="224"/>
    </row>
    <row r="88" spans="1:38" ht="12" customHeight="1" x14ac:dyDescent="0.25">
      <c r="A88" s="307" t="s">
        <v>369</v>
      </c>
      <c r="B88" s="307"/>
      <c r="C88" s="223"/>
      <c r="D88" s="223"/>
      <c r="E88" s="223"/>
      <c r="F88" s="224"/>
    </row>
    <row r="89" spans="1:38" ht="12" customHeight="1" x14ac:dyDescent="0.25">
      <c r="A89" s="308" t="s">
        <v>370</v>
      </c>
      <c r="B89" s="308"/>
      <c r="C89" s="224"/>
      <c r="D89" s="224"/>
      <c r="E89" s="224"/>
      <c r="F89" s="224"/>
    </row>
    <row r="90" spans="1:38" ht="12" customHeight="1" x14ac:dyDescent="0.25">
      <c r="A90" s="308" t="s">
        <v>371</v>
      </c>
      <c r="B90" s="308"/>
      <c r="C90" s="224"/>
      <c r="D90" s="224"/>
      <c r="E90" s="224"/>
      <c r="F90" s="224"/>
    </row>
    <row r="91" spans="1:38" ht="12" customHeight="1" x14ac:dyDescent="0.25">
      <c r="A91" s="308" t="s">
        <v>372</v>
      </c>
      <c r="B91" s="308"/>
      <c r="C91" s="224"/>
      <c r="D91" s="224"/>
      <c r="E91" s="224"/>
      <c r="F91" s="224"/>
    </row>
    <row r="92" spans="1:38" ht="12" customHeight="1" x14ac:dyDescent="0.25">
      <c r="A92" s="307" t="s">
        <v>373</v>
      </c>
      <c r="B92" s="307"/>
      <c r="C92" s="223"/>
      <c r="D92" s="223"/>
      <c r="E92" s="223"/>
      <c r="F92" s="224"/>
    </row>
    <row r="93" spans="1:38" ht="12" customHeight="1" x14ac:dyDescent="0.25">
      <c r="A93" s="309" t="s">
        <v>220</v>
      </c>
      <c r="B93" s="30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spans="1:38" ht="12" customHeight="1" x14ac:dyDescent="0.25">
      <c r="A94" s="309" t="s">
        <v>374</v>
      </c>
      <c r="B94" s="309"/>
      <c r="C94" s="222"/>
      <c r="D94" s="222"/>
      <c r="E94" s="222"/>
      <c r="F94" s="227"/>
    </row>
    <row r="95" spans="1:38" ht="12" customHeight="1" x14ac:dyDescent="0.25">
      <c r="A95" s="311" t="s">
        <v>375</v>
      </c>
      <c r="B95" s="311"/>
      <c r="C95" s="221"/>
      <c r="D95" s="221"/>
      <c r="E95" s="221"/>
      <c r="F95" s="221"/>
    </row>
    <row r="96" spans="1:38" ht="12" customHeight="1" x14ac:dyDescent="0.25">
      <c r="A96" s="311" t="s">
        <v>376</v>
      </c>
      <c r="B96" s="311"/>
      <c r="C96" s="221"/>
      <c r="D96" s="221"/>
      <c r="E96" s="221"/>
      <c r="F96" s="221"/>
    </row>
    <row r="97" spans="1:6" ht="12" customHeight="1" x14ac:dyDescent="0.25">
      <c r="A97" s="308" t="s">
        <v>377</v>
      </c>
      <c r="B97" s="308"/>
      <c r="C97" s="224"/>
      <c r="D97" s="224"/>
      <c r="E97" s="224"/>
      <c r="F97" s="224"/>
    </row>
    <row r="98" spans="1:6" ht="12" customHeight="1" x14ac:dyDescent="0.25">
      <c r="A98" s="308" t="s">
        <v>378</v>
      </c>
      <c r="B98" s="308"/>
      <c r="C98" s="224"/>
      <c r="D98" s="224"/>
      <c r="E98" s="224"/>
      <c r="F98" s="224"/>
    </row>
    <row r="99" spans="1:6" ht="12" customHeight="1" x14ac:dyDescent="0.25">
      <c r="A99" s="308" t="s">
        <v>379</v>
      </c>
      <c r="B99" s="308"/>
      <c r="C99" s="224"/>
      <c r="D99" s="224"/>
      <c r="E99" s="224"/>
      <c r="F99" s="224"/>
    </row>
    <row r="100" spans="1:6" ht="12" customHeight="1" x14ac:dyDescent="0.25">
      <c r="A100" s="308" t="s">
        <v>380</v>
      </c>
      <c r="B100" s="308"/>
      <c r="C100" s="224"/>
      <c r="D100" s="224"/>
      <c r="E100" s="224"/>
      <c r="F100" s="228"/>
    </row>
    <row r="101" spans="1:6" ht="12" customHeight="1" x14ac:dyDescent="0.25">
      <c r="A101" s="311" t="s">
        <v>381</v>
      </c>
      <c r="B101" s="311"/>
      <c r="C101" s="221"/>
      <c r="D101" s="221"/>
      <c r="E101" s="221"/>
      <c r="F101" s="221"/>
    </row>
    <row r="102" spans="1:6" ht="12" customHeight="1" x14ac:dyDescent="0.25">
      <c r="A102" s="308" t="s">
        <v>382</v>
      </c>
      <c r="B102" s="308"/>
      <c r="C102" s="224"/>
      <c r="D102" s="224"/>
      <c r="E102" s="224"/>
      <c r="F102" s="224"/>
    </row>
    <row r="103" spans="1:6" ht="12" customHeight="1" x14ac:dyDescent="0.25">
      <c r="A103" s="311" t="s">
        <v>383</v>
      </c>
      <c r="B103" s="311"/>
      <c r="C103" s="221"/>
      <c r="D103" s="221"/>
      <c r="E103" s="221"/>
      <c r="F103" s="221"/>
    </row>
    <row r="104" spans="1:6" ht="12" customHeight="1" x14ac:dyDescent="0.25">
      <c r="A104" s="311" t="s">
        <v>384</v>
      </c>
      <c r="B104" s="311"/>
      <c r="C104" s="221"/>
      <c r="D104" s="221"/>
      <c r="E104" s="221"/>
      <c r="F104" s="221"/>
    </row>
    <row r="105" spans="1:6" ht="12" customHeight="1" x14ac:dyDescent="0.25">
      <c r="A105" s="311" t="s">
        <v>385</v>
      </c>
      <c r="B105" s="311"/>
      <c r="C105" s="221"/>
      <c r="D105" s="221"/>
      <c r="E105" s="221"/>
      <c r="F105" s="221"/>
    </row>
    <row r="106" spans="1:6" ht="12" customHeight="1" x14ac:dyDescent="0.25">
      <c r="A106" s="311" t="s">
        <v>386</v>
      </c>
      <c r="B106" s="311"/>
      <c r="C106" s="221"/>
      <c r="D106" s="221"/>
      <c r="E106" s="221"/>
      <c r="F106" s="221"/>
    </row>
    <row r="107" spans="1:6" ht="12" customHeight="1" x14ac:dyDescent="0.25">
      <c r="A107" s="311" t="s">
        <v>387</v>
      </c>
      <c r="B107" s="311"/>
      <c r="C107" s="221"/>
      <c r="D107" s="221"/>
      <c r="E107" s="221"/>
      <c r="F107" s="221"/>
    </row>
    <row r="108" spans="1:6" ht="12" customHeight="1" x14ac:dyDescent="0.25">
      <c r="A108" s="308" t="s">
        <v>388</v>
      </c>
      <c r="B108" s="308"/>
      <c r="C108" s="224"/>
      <c r="D108" s="224"/>
      <c r="E108" s="224"/>
      <c r="F108" s="224"/>
    </row>
    <row r="109" spans="1:6" ht="12" customHeight="1" x14ac:dyDescent="0.25">
      <c r="A109" s="308" t="s">
        <v>389</v>
      </c>
      <c r="B109" s="308"/>
      <c r="C109" s="224"/>
      <c r="D109" s="224"/>
      <c r="E109" s="224"/>
      <c r="F109" s="224"/>
    </row>
    <row r="110" spans="1:6" ht="12" customHeight="1" x14ac:dyDescent="0.25">
      <c r="A110" s="308" t="s">
        <v>390</v>
      </c>
      <c r="B110" s="308"/>
      <c r="C110" s="224"/>
      <c r="D110" s="224"/>
      <c r="E110" s="224"/>
      <c r="F110" s="224"/>
    </row>
    <row r="111" spans="1:6" ht="12" customHeight="1" x14ac:dyDescent="0.25">
      <c r="A111" s="309" t="s">
        <v>391</v>
      </c>
      <c r="B111" s="309"/>
      <c r="C111" s="222"/>
      <c r="D111" s="222"/>
      <c r="E111" s="222"/>
    </row>
    <row r="112" spans="1:6" ht="12" customHeight="1" x14ac:dyDescent="0.25">
      <c r="A112" s="312" t="s">
        <v>392</v>
      </c>
      <c r="B112" s="311"/>
      <c r="C112" s="221"/>
      <c r="D112" s="221"/>
      <c r="E112" s="221"/>
      <c r="F112" s="228"/>
    </row>
    <row r="113" spans="1:38" ht="12" customHeight="1" x14ac:dyDescent="0.25">
      <c r="A113" s="312" t="s">
        <v>393</v>
      </c>
      <c r="B113" s="311"/>
      <c r="C113" s="221"/>
      <c r="D113" s="221"/>
      <c r="E113" s="221"/>
      <c r="F113" s="221"/>
    </row>
    <row r="114" spans="1:38" ht="12" customHeight="1" x14ac:dyDescent="0.25">
      <c r="A114" s="312" t="s">
        <v>401</v>
      </c>
      <c r="B114" s="311"/>
      <c r="C114" s="221"/>
      <c r="D114" s="221"/>
      <c r="E114" s="221"/>
      <c r="F114" s="221"/>
    </row>
    <row r="115" spans="1:38" ht="12" customHeight="1" x14ac:dyDescent="0.25">
      <c r="A115" s="312" t="s">
        <v>400</v>
      </c>
      <c r="B115" s="311"/>
      <c r="C115" s="221"/>
      <c r="D115" s="221"/>
      <c r="E115" s="221"/>
      <c r="F115" s="221"/>
    </row>
    <row r="116" spans="1:38" ht="12" customHeight="1" x14ac:dyDescent="0.25">
      <c r="A116" s="309" t="s">
        <v>394</v>
      </c>
      <c r="B116" s="309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</row>
    <row r="117" spans="1:38" ht="12" customHeight="1" x14ac:dyDescent="0.25">
      <c r="A117" s="307" t="s">
        <v>395</v>
      </c>
      <c r="B117" s="307"/>
      <c r="C117" s="223"/>
      <c r="D117" s="223"/>
      <c r="E117" s="223"/>
    </row>
    <row r="118" spans="1:38" ht="12" customHeight="1" x14ac:dyDescent="0.25">
      <c r="A118" s="307" t="s">
        <v>396</v>
      </c>
      <c r="B118" s="307"/>
      <c r="C118" s="223"/>
      <c r="D118" s="223"/>
      <c r="E118" s="223"/>
    </row>
    <row r="119" spans="1:38" ht="12" customHeight="1" x14ac:dyDescent="0.25">
      <c r="A119" s="307" t="s">
        <v>397</v>
      </c>
      <c r="B119" s="307"/>
      <c r="C119" s="223"/>
      <c r="D119" s="223"/>
      <c r="E119" s="223"/>
    </row>
    <row r="120" spans="1:38" ht="12" customHeight="1" x14ac:dyDescent="0.25">
      <c r="A120" s="307" t="s">
        <v>398</v>
      </c>
      <c r="B120" s="307"/>
      <c r="C120" s="223"/>
      <c r="D120" s="223"/>
      <c r="E120" s="223"/>
    </row>
    <row r="121" spans="1:38" ht="12" customHeight="1" x14ac:dyDescent="0.25">
      <c r="A121" s="307" t="s">
        <v>399</v>
      </c>
      <c r="B121" s="307"/>
      <c r="C121" s="223"/>
      <c r="D121" s="223"/>
      <c r="E121" s="223"/>
    </row>
    <row r="123" spans="1:38" x14ac:dyDescent="0.25">
      <c r="A123"/>
    </row>
    <row r="124" spans="1:38" x14ac:dyDescent="0.25">
      <c r="A124" s="331" t="s">
        <v>288</v>
      </c>
      <c r="B124" s="331" t="s">
        <v>126</v>
      </c>
    </row>
    <row r="125" spans="1:38" x14ac:dyDescent="0.25">
      <c r="A125" s="331" t="s">
        <v>127</v>
      </c>
      <c r="B125" s="331" t="s">
        <v>128</v>
      </c>
    </row>
    <row r="126" spans="1:38" x14ac:dyDescent="0.25">
      <c r="A126"/>
    </row>
    <row r="127" spans="1:38" x14ac:dyDescent="0.25">
      <c r="A127"/>
    </row>
    <row r="128" spans="1:38" x14ac:dyDescent="0.25">
      <c r="A128"/>
    </row>
  </sheetData>
  <mergeCells count="9">
    <mergeCell ref="A1:B1"/>
    <mergeCell ref="A2:B2"/>
    <mergeCell ref="A3:B3"/>
    <mergeCell ref="A76:B76"/>
    <mergeCell ref="A8:B8"/>
    <mergeCell ref="A67:B67"/>
    <mergeCell ref="A68:B68"/>
    <mergeCell ref="A69:B69"/>
    <mergeCell ref="A74:B74"/>
  </mergeCells>
  <pageMargins left="1.1299999999999999" right="0.7" top="0.5" bottom="1.37" header="0.3" footer="0.3"/>
  <pageSetup paperSize="1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93"/>
  <sheetViews>
    <sheetView topLeftCell="A2" zoomScale="71" zoomScaleNormal="71" workbookViewId="0">
      <selection activeCell="AA42" sqref="AA41:AA42"/>
    </sheetView>
  </sheetViews>
  <sheetFormatPr baseColWidth="10" defaultRowHeight="15" x14ac:dyDescent="0.25"/>
  <cols>
    <col min="1" max="1" width="46.85546875" customWidth="1"/>
    <col min="2" max="2" width="4.7109375" customWidth="1"/>
    <col min="3" max="3" width="5.5703125" customWidth="1"/>
    <col min="4" max="4" width="6.140625" bestFit="1" customWidth="1"/>
    <col min="5" max="5" width="6.140625" customWidth="1"/>
    <col min="6" max="6" width="4.85546875" customWidth="1"/>
    <col min="7" max="7" width="5.85546875" customWidth="1"/>
    <col min="8" max="8" width="5.28515625" customWidth="1"/>
    <col min="9" max="9" width="4.7109375" customWidth="1"/>
    <col min="10" max="10" width="4.5703125" customWidth="1"/>
    <col min="11" max="11" width="4.7109375" customWidth="1"/>
    <col min="12" max="12" width="5.5703125" customWidth="1"/>
    <col min="13" max="13" width="6.28515625" customWidth="1"/>
    <col min="14" max="14" width="5.85546875" bestFit="1" customWidth="1"/>
    <col min="15" max="15" width="4.7109375" customWidth="1"/>
    <col min="16" max="16" width="5.85546875" bestFit="1" customWidth="1"/>
    <col min="17" max="17" width="5.140625" customWidth="1"/>
    <col min="18" max="18" width="4.7109375" customWidth="1"/>
    <col min="19" max="19" width="5.42578125" customWidth="1"/>
    <col min="20" max="20" width="5.85546875" customWidth="1"/>
    <col min="21" max="21" width="6" customWidth="1"/>
    <col min="22" max="22" width="5.7109375" customWidth="1"/>
    <col min="23" max="23" width="6.140625" customWidth="1"/>
    <col min="24" max="25" width="6.42578125" customWidth="1"/>
    <col min="26" max="26" width="5.7109375" customWidth="1"/>
    <col min="27" max="27" width="6.85546875" customWidth="1"/>
    <col min="28" max="28" width="7.5703125" customWidth="1"/>
    <col min="29" max="29" width="5" customWidth="1"/>
    <col min="30" max="30" width="7.85546875" customWidth="1"/>
    <col min="31" max="31" width="4.85546875" customWidth="1"/>
    <col min="32" max="32" width="5.140625" customWidth="1"/>
  </cols>
  <sheetData>
    <row r="1" spans="1:34" ht="18" x14ac:dyDescent="0.25">
      <c r="A1" s="493" t="s">
        <v>86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5"/>
    </row>
    <row r="2" spans="1:34" ht="15.75" x14ac:dyDescent="0.25">
      <c r="A2" s="496" t="s">
        <v>87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  <c r="V2" s="497"/>
      <c r="W2" s="497"/>
      <c r="X2" s="497"/>
      <c r="Y2" s="497"/>
      <c r="Z2" s="497"/>
      <c r="AA2" s="497"/>
      <c r="AB2" s="497"/>
      <c r="AC2" s="497"/>
      <c r="AD2" s="497"/>
      <c r="AE2" s="497"/>
      <c r="AF2" s="497"/>
      <c r="AG2" s="498"/>
    </row>
    <row r="3" spans="1:34" ht="15.75" x14ac:dyDescent="0.25">
      <c r="A3" s="496" t="s">
        <v>88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7"/>
      <c r="AB3" s="497"/>
      <c r="AC3" s="497"/>
      <c r="AD3" s="497"/>
      <c r="AE3" s="497"/>
      <c r="AF3" s="497"/>
      <c r="AG3" s="498"/>
    </row>
    <row r="4" spans="1:34" ht="15.75" thickBot="1" x14ac:dyDescent="0.3">
      <c r="A4" s="499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1"/>
    </row>
    <row r="5" spans="1:34" ht="8.25" customHeight="1" x14ac:dyDescent="0.25"/>
    <row r="6" spans="1:34" ht="15.75" x14ac:dyDescent="0.25">
      <c r="A6" s="6" t="s">
        <v>646</v>
      </c>
    </row>
    <row r="7" spans="1:34" ht="15.75" x14ac:dyDescent="0.25">
      <c r="A7" s="6" t="s">
        <v>653</v>
      </c>
      <c r="D7" s="3"/>
    </row>
    <row r="8" spans="1:34" ht="14.25" customHeight="1" x14ac:dyDescent="0.25">
      <c r="E8" s="5"/>
    </row>
    <row r="9" spans="1:34" ht="23.25" customHeight="1" x14ac:dyDescent="0.25">
      <c r="A9" s="504" t="s">
        <v>644</v>
      </c>
      <c r="B9" s="504"/>
      <c r="C9" s="504"/>
      <c r="D9" s="504"/>
      <c r="E9" s="504"/>
      <c r="F9" s="504"/>
      <c r="G9" s="504"/>
      <c r="H9" s="504"/>
      <c r="I9" s="504"/>
      <c r="J9" s="504"/>
      <c r="K9" s="504"/>
      <c r="L9" s="504"/>
      <c r="M9" s="504"/>
    </row>
    <row r="10" spans="1:34" ht="15" customHeight="1" x14ac:dyDescent="0.25">
      <c r="A10" s="490" t="s">
        <v>119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4" ht="15.75" customHeight="1" thickBot="1" x14ac:dyDescent="0.3">
      <c r="A11" s="49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4" ht="20.100000000000001" customHeight="1" thickBot="1" x14ac:dyDescent="0.3">
      <c r="A12" s="23" t="s">
        <v>19</v>
      </c>
      <c r="B12" s="369">
        <v>1</v>
      </c>
      <c r="C12" s="370">
        <v>2</v>
      </c>
      <c r="D12" s="370">
        <v>3</v>
      </c>
      <c r="E12" s="370">
        <v>4</v>
      </c>
      <c r="F12" s="370">
        <v>5</v>
      </c>
      <c r="G12" s="370">
        <v>6</v>
      </c>
      <c r="H12" s="370">
        <v>7</v>
      </c>
      <c r="I12" s="370">
        <v>8</v>
      </c>
      <c r="J12" s="370">
        <v>9</v>
      </c>
      <c r="K12" s="370">
        <v>10</v>
      </c>
      <c r="L12" s="370">
        <v>11</v>
      </c>
      <c r="M12" s="370">
        <v>12</v>
      </c>
      <c r="N12" s="370">
        <v>13</v>
      </c>
      <c r="O12" s="370">
        <v>14</v>
      </c>
      <c r="P12" s="370">
        <v>15</v>
      </c>
      <c r="Q12" s="370">
        <v>16</v>
      </c>
      <c r="R12" s="370">
        <v>17</v>
      </c>
      <c r="S12" s="370">
        <v>18</v>
      </c>
      <c r="T12" s="370">
        <v>19</v>
      </c>
      <c r="U12" s="370">
        <v>20</v>
      </c>
      <c r="V12" s="370">
        <v>21</v>
      </c>
      <c r="W12" s="370">
        <v>22</v>
      </c>
      <c r="X12" s="370">
        <v>23</v>
      </c>
      <c r="Y12" s="370">
        <v>24</v>
      </c>
      <c r="Z12" s="370">
        <v>25</v>
      </c>
      <c r="AA12" s="370">
        <v>26</v>
      </c>
      <c r="AB12" s="370">
        <v>27</v>
      </c>
      <c r="AC12" s="370">
        <v>28</v>
      </c>
      <c r="AD12" s="370">
        <v>29</v>
      </c>
      <c r="AE12" s="370">
        <v>30</v>
      </c>
      <c r="AF12" s="370">
        <v>31</v>
      </c>
      <c r="AG12" s="371" t="s">
        <v>131</v>
      </c>
    </row>
    <row r="13" spans="1:34" ht="20.100000000000001" customHeight="1" x14ac:dyDescent="0.25">
      <c r="A13" s="26" t="s">
        <v>21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8"/>
      <c r="AH13" s="362"/>
    </row>
    <row r="14" spans="1:34" ht="20.100000000000001" customHeight="1" x14ac:dyDescent="0.25">
      <c r="A14" s="29" t="s">
        <v>22</v>
      </c>
      <c r="B14" s="30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4"/>
    </row>
    <row r="15" spans="1:34" ht="20.100000000000001" customHeight="1" x14ac:dyDescent="0.25">
      <c r="A15" s="29" t="s">
        <v>23</v>
      </c>
      <c r="B15" s="33"/>
      <c r="C15" s="372"/>
      <c r="D15" s="372"/>
      <c r="E15" s="372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  <c r="AA15" s="372"/>
      <c r="AB15" s="372"/>
      <c r="AC15" s="372"/>
      <c r="AD15" s="372"/>
      <c r="AE15" s="372"/>
      <c r="AF15" s="372"/>
      <c r="AG15" s="374"/>
    </row>
    <row r="16" spans="1:34" ht="20.100000000000001" customHeight="1" x14ac:dyDescent="0.25">
      <c r="A16" s="29" t="s">
        <v>24</v>
      </c>
      <c r="B16" s="33"/>
      <c r="C16" s="372"/>
      <c r="D16" s="372"/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  <c r="AA16" s="372"/>
      <c r="AB16" s="372"/>
      <c r="AC16" s="372"/>
      <c r="AD16" s="372"/>
      <c r="AE16" s="372"/>
      <c r="AF16" s="372"/>
      <c r="AG16" s="374"/>
    </row>
    <row r="17" spans="1:33" ht="20.100000000000001" customHeight="1" x14ac:dyDescent="0.25">
      <c r="A17" s="29" t="s">
        <v>25</v>
      </c>
      <c r="B17" s="33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  <c r="AA17" s="372"/>
      <c r="AB17" s="372"/>
      <c r="AC17" s="372"/>
      <c r="AD17" s="372"/>
      <c r="AE17" s="372"/>
      <c r="AF17" s="372"/>
      <c r="AG17" s="374"/>
    </row>
    <row r="18" spans="1:33" ht="20.100000000000001" customHeight="1" x14ac:dyDescent="0.25">
      <c r="A18" s="35" t="s">
        <v>26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ht="20.100000000000001" customHeight="1" x14ac:dyDescent="0.25">
      <c r="A19" s="29" t="s">
        <v>27</v>
      </c>
      <c r="B19" s="33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4"/>
    </row>
    <row r="20" spans="1:33" ht="20.100000000000001" customHeight="1" x14ac:dyDescent="0.25">
      <c r="A20" s="29" t="s">
        <v>28</v>
      </c>
      <c r="B20" s="33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4"/>
    </row>
    <row r="21" spans="1:33" ht="20.100000000000001" customHeight="1" x14ac:dyDescent="0.25">
      <c r="A21" s="29" t="s">
        <v>101</v>
      </c>
      <c r="B21" s="33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4"/>
    </row>
    <row r="22" spans="1:33" ht="20.100000000000001" customHeight="1" x14ac:dyDescent="0.25">
      <c r="A22" s="29" t="s">
        <v>102</v>
      </c>
      <c r="B22" s="33"/>
      <c r="C22" s="372"/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4"/>
    </row>
    <row r="23" spans="1:33" ht="20.100000000000001" customHeight="1" x14ac:dyDescent="0.25">
      <c r="A23" s="29" t="s">
        <v>103</v>
      </c>
      <c r="B23" s="33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  <c r="AA23" s="372"/>
      <c r="AB23" s="372"/>
      <c r="AC23" s="372"/>
      <c r="AD23" s="372"/>
      <c r="AE23" s="372"/>
      <c r="AF23" s="372"/>
      <c r="AG23" s="374"/>
    </row>
    <row r="24" spans="1:33" ht="20.100000000000001" customHeight="1" x14ac:dyDescent="0.25">
      <c r="A24" s="29" t="s">
        <v>104</v>
      </c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2"/>
    </row>
    <row r="25" spans="1:33" ht="20.100000000000001" customHeight="1" x14ac:dyDescent="0.25">
      <c r="A25" s="36" t="s">
        <v>29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20.100000000000001" customHeight="1" x14ac:dyDescent="0.25">
      <c r="A26" s="29" t="s">
        <v>22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2"/>
    </row>
    <row r="27" spans="1:33" ht="20.100000000000001" customHeight="1" x14ac:dyDescent="0.25">
      <c r="A27" s="29" t="s">
        <v>24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72"/>
      <c r="AB27" s="34"/>
      <c r="AC27" s="34"/>
      <c r="AD27" s="34"/>
      <c r="AE27" s="34"/>
      <c r="AF27" s="34"/>
      <c r="AG27" s="32"/>
    </row>
    <row r="28" spans="1:33" ht="20.100000000000001" customHeight="1" x14ac:dyDescent="0.25">
      <c r="A28" s="26" t="s">
        <v>30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28"/>
    </row>
    <row r="29" spans="1:33" ht="20.100000000000001" customHeight="1" x14ac:dyDescent="0.25">
      <c r="A29" s="29" t="s">
        <v>98</v>
      </c>
      <c r="B29" s="33"/>
      <c r="C29" s="34"/>
      <c r="D29" s="34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4"/>
    </row>
    <row r="30" spans="1:33" ht="20.100000000000001" customHeight="1" x14ac:dyDescent="0.25">
      <c r="A30" s="29" t="s">
        <v>99</v>
      </c>
      <c r="B30" s="33"/>
      <c r="C30" s="34"/>
      <c r="D30" s="34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4"/>
    </row>
    <row r="31" spans="1:33" ht="20.100000000000001" customHeight="1" x14ac:dyDescent="0.25">
      <c r="A31" s="29" t="s">
        <v>23</v>
      </c>
      <c r="B31" s="33"/>
      <c r="C31" s="34"/>
      <c r="D31" s="34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4"/>
    </row>
    <row r="32" spans="1:33" ht="20.100000000000001" customHeight="1" x14ac:dyDescent="0.25">
      <c r="A32" s="29" t="s">
        <v>24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2"/>
    </row>
    <row r="33" spans="1:34" ht="20.100000000000001" customHeight="1" x14ac:dyDescent="0.25">
      <c r="A33" s="38" t="s">
        <v>31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2"/>
    </row>
    <row r="34" spans="1:34" ht="19.5" customHeight="1" x14ac:dyDescent="0.25">
      <c r="A34" s="39" t="s">
        <v>32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2"/>
    </row>
    <row r="35" spans="1:34" ht="20.100000000000001" customHeight="1" x14ac:dyDescent="0.25">
      <c r="A35" s="36" t="s">
        <v>33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4" ht="20.100000000000001" customHeight="1" x14ac:dyDescent="0.25">
      <c r="A36" s="29" t="s">
        <v>34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2"/>
    </row>
    <row r="37" spans="1:34" ht="20.100000000000001" customHeight="1" x14ac:dyDescent="0.25">
      <c r="A37" s="29" t="s">
        <v>23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72"/>
      <c r="AG37" s="374"/>
    </row>
    <row r="38" spans="1:34" ht="20.100000000000001" customHeight="1" x14ac:dyDescent="0.25">
      <c r="A38" s="29" t="s">
        <v>24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2"/>
    </row>
    <row r="39" spans="1:34" ht="20.100000000000001" customHeight="1" x14ac:dyDescent="0.25">
      <c r="A39" s="40" t="s">
        <v>35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1:34" ht="20.100000000000001" customHeight="1" x14ac:dyDescent="0.25">
      <c r="A40" s="41" t="s">
        <v>36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2"/>
    </row>
    <row r="41" spans="1:34" ht="20.100000000000001" customHeight="1" x14ac:dyDescent="0.25">
      <c r="A41" s="41" t="s">
        <v>23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2"/>
    </row>
    <row r="42" spans="1:34" ht="20.100000000000001" customHeight="1" x14ac:dyDescent="0.25">
      <c r="A42" s="29" t="s">
        <v>24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2"/>
    </row>
    <row r="43" spans="1:34" ht="20.100000000000001" customHeight="1" thickBot="1" x14ac:dyDescent="0.3">
      <c r="A43" s="42" t="s">
        <v>37</v>
      </c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17"/>
      <c r="AH43" t="s">
        <v>628</v>
      </c>
    </row>
    <row r="44" spans="1:34" ht="20.100000000000001" customHeight="1" x14ac:dyDescent="0.25">
      <c r="A44" s="492" t="s">
        <v>93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6"/>
    </row>
    <row r="45" spans="1:34" ht="20.100000000000001" customHeight="1" thickBot="1" x14ac:dyDescent="0.3">
      <c r="A45" s="492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8"/>
    </row>
    <row r="46" spans="1:34" ht="20.100000000000001" customHeight="1" thickBot="1" x14ac:dyDescent="0.3">
      <c r="A46" s="23" t="s">
        <v>19</v>
      </c>
      <c r="B46" s="369">
        <v>1</v>
      </c>
      <c r="C46" s="370">
        <v>2</v>
      </c>
      <c r="D46" s="370">
        <v>3</v>
      </c>
      <c r="E46" s="370">
        <v>4</v>
      </c>
      <c r="F46" s="370">
        <v>5</v>
      </c>
      <c r="G46" s="370">
        <v>6</v>
      </c>
      <c r="H46" s="370">
        <v>7</v>
      </c>
      <c r="I46" s="370">
        <v>8</v>
      </c>
      <c r="J46" s="370">
        <v>9</v>
      </c>
      <c r="K46" s="370">
        <v>10</v>
      </c>
      <c r="L46" s="370">
        <v>11</v>
      </c>
      <c r="M46" s="370">
        <v>12</v>
      </c>
      <c r="N46" s="370">
        <v>13</v>
      </c>
      <c r="O46" s="370">
        <v>14</v>
      </c>
      <c r="P46" s="370">
        <v>15</v>
      </c>
      <c r="Q46" s="370">
        <v>16</v>
      </c>
      <c r="R46" s="370">
        <v>17</v>
      </c>
      <c r="S46" s="370">
        <v>18</v>
      </c>
      <c r="T46" s="370">
        <v>19</v>
      </c>
      <c r="U46" s="370">
        <v>20</v>
      </c>
      <c r="V46" s="370">
        <v>21</v>
      </c>
      <c r="W46" s="370">
        <v>22</v>
      </c>
      <c r="X46" s="370">
        <v>23</v>
      </c>
      <c r="Y46" s="370">
        <v>24</v>
      </c>
      <c r="Z46" s="370">
        <v>25</v>
      </c>
      <c r="AA46" s="370">
        <v>26</v>
      </c>
      <c r="AB46" s="370">
        <v>27</v>
      </c>
      <c r="AC46" s="370">
        <v>28</v>
      </c>
      <c r="AD46" s="370">
        <v>29</v>
      </c>
      <c r="AE46" s="370">
        <v>30</v>
      </c>
      <c r="AF46" s="370">
        <v>31</v>
      </c>
      <c r="AG46" s="371" t="s">
        <v>131</v>
      </c>
    </row>
    <row r="47" spans="1:34" ht="20.100000000000001" customHeight="1" x14ac:dyDescent="0.25">
      <c r="A47" s="49" t="s">
        <v>21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8"/>
    </row>
    <row r="48" spans="1:34" ht="20.100000000000001" customHeight="1" x14ac:dyDescent="0.25">
      <c r="A48" s="29" t="s">
        <v>22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2"/>
    </row>
    <row r="49" spans="1:34" ht="20.100000000000001" customHeight="1" x14ac:dyDescent="0.25">
      <c r="A49" s="29" t="s">
        <v>23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2"/>
    </row>
    <row r="50" spans="1:34" ht="20.100000000000001" customHeight="1" x14ac:dyDescent="0.25">
      <c r="A50" s="29" t="s">
        <v>24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2"/>
    </row>
    <row r="51" spans="1:34" ht="20.100000000000001" customHeight="1" thickBot="1" x14ac:dyDescent="0.3">
      <c r="A51" s="29" t="s">
        <v>25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2"/>
    </row>
    <row r="52" spans="1:34" ht="20.100000000000001" customHeight="1" x14ac:dyDescent="0.25">
      <c r="A52" s="50" t="s">
        <v>26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8"/>
      <c r="AH52" s="362"/>
    </row>
    <row r="53" spans="1:34" ht="20.100000000000001" customHeight="1" x14ac:dyDescent="0.25">
      <c r="A53" s="29" t="s">
        <v>27</v>
      </c>
      <c r="B53" s="33"/>
      <c r="C53" s="372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72"/>
      <c r="AC53" s="372"/>
      <c r="AD53" s="372"/>
      <c r="AE53" s="372"/>
      <c r="AF53" s="372"/>
      <c r="AG53" s="374"/>
    </row>
    <row r="54" spans="1:34" ht="20.100000000000001" customHeight="1" x14ac:dyDescent="0.25">
      <c r="A54" s="29" t="s">
        <v>28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72"/>
      <c r="AC54" s="372"/>
      <c r="AD54" s="372"/>
      <c r="AE54" s="372"/>
      <c r="AF54" s="372"/>
      <c r="AG54" s="374"/>
    </row>
    <row r="55" spans="1:34" ht="20.100000000000001" customHeight="1" x14ac:dyDescent="0.25">
      <c r="A55" s="29" t="s">
        <v>101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72"/>
      <c r="AC55" s="372"/>
      <c r="AD55" s="372"/>
      <c r="AE55" s="372"/>
      <c r="AF55" s="372"/>
      <c r="AG55" s="374"/>
    </row>
    <row r="56" spans="1:34" ht="20.100000000000001" customHeight="1" x14ac:dyDescent="0.25">
      <c r="A56" s="29" t="s">
        <v>102</v>
      </c>
      <c r="B56" s="33"/>
      <c r="C56" s="31"/>
      <c r="D56" s="34"/>
      <c r="E56" s="34"/>
      <c r="F56" s="34"/>
      <c r="G56" s="34"/>
      <c r="H56" s="31"/>
      <c r="I56" s="34"/>
      <c r="J56" s="3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1"/>
      <c r="Z56" s="34"/>
      <c r="AA56" s="34"/>
      <c r="AB56" s="372"/>
      <c r="AC56" s="372"/>
      <c r="AD56" s="372"/>
      <c r="AE56" s="373"/>
      <c r="AF56" s="372"/>
      <c r="AG56" s="374"/>
    </row>
    <row r="57" spans="1:34" ht="20.100000000000001" customHeight="1" x14ac:dyDescent="0.25">
      <c r="A57" s="29" t="s">
        <v>103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72"/>
      <c r="AC57" s="372"/>
      <c r="AD57" s="372"/>
      <c r="AE57" s="372"/>
      <c r="AF57" s="372"/>
      <c r="AG57" s="374"/>
    </row>
    <row r="58" spans="1:34" ht="20.100000000000001" customHeight="1" thickBot="1" x14ac:dyDescent="0.3">
      <c r="A58" s="29" t="s">
        <v>104</v>
      </c>
      <c r="B58" s="33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2"/>
    </row>
    <row r="59" spans="1:34" ht="20.100000000000001" customHeight="1" x14ac:dyDescent="0.25">
      <c r="A59" s="51" t="s">
        <v>29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8"/>
    </row>
    <row r="60" spans="1:34" ht="20.100000000000001" customHeight="1" x14ac:dyDescent="0.25">
      <c r="A60" s="29" t="s">
        <v>22</v>
      </c>
      <c r="B60" s="33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2"/>
    </row>
    <row r="61" spans="1:34" ht="20.100000000000001" customHeight="1" thickBot="1" x14ac:dyDescent="0.3">
      <c r="A61" s="29" t="s">
        <v>24</v>
      </c>
      <c r="B61" s="33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2"/>
    </row>
    <row r="62" spans="1:34" ht="20.100000000000001" customHeight="1" x14ac:dyDescent="0.25">
      <c r="A62" s="49" t="s">
        <v>30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8"/>
    </row>
    <row r="63" spans="1:34" ht="20.100000000000001" customHeight="1" x14ac:dyDescent="0.25">
      <c r="A63" s="29" t="s">
        <v>98</v>
      </c>
      <c r="B63" s="33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2"/>
    </row>
    <row r="64" spans="1:34" ht="20.100000000000001" customHeight="1" x14ac:dyDescent="0.25">
      <c r="A64" s="29" t="s">
        <v>99</v>
      </c>
      <c r="B64" s="33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2"/>
    </row>
    <row r="65" spans="1:33" ht="20.100000000000001" customHeight="1" x14ac:dyDescent="0.25">
      <c r="A65" s="29" t="s">
        <v>23</v>
      </c>
      <c r="B65" s="33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2"/>
    </row>
    <row r="66" spans="1:33" ht="20.100000000000001" customHeight="1" x14ac:dyDescent="0.25">
      <c r="A66" s="29" t="s">
        <v>24</v>
      </c>
      <c r="B66" s="33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2"/>
    </row>
    <row r="67" spans="1:33" ht="20.100000000000001" customHeight="1" x14ac:dyDescent="0.25">
      <c r="A67" s="38" t="s">
        <v>31</v>
      </c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2"/>
    </row>
    <row r="68" spans="1:33" ht="20.100000000000001" customHeight="1" thickBot="1" x14ac:dyDescent="0.3">
      <c r="A68" s="38" t="s">
        <v>32</v>
      </c>
      <c r="B68" s="33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2"/>
    </row>
    <row r="69" spans="1:33" ht="20.100000000000001" customHeight="1" x14ac:dyDescent="0.25">
      <c r="A69" s="51" t="s">
        <v>33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8"/>
    </row>
    <row r="70" spans="1:33" ht="20.100000000000001" customHeight="1" x14ac:dyDescent="0.25">
      <c r="A70" s="29" t="s">
        <v>34</v>
      </c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2"/>
    </row>
    <row r="71" spans="1:33" ht="20.100000000000001" customHeight="1" x14ac:dyDescent="0.25">
      <c r="A71" s="29" t="s">
        <v>23</v>
      </c>
      <c r="B71" s="33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2"/>
    </row>
    <row r="72" spans="1:33" ht="20.100000000000001" customHeight="1" thickBot="1" x14ac:dyDescent="0.3">
      <c r="A72" s="29" t="s">
        <v>24</v>
      </c>
      <c r="B72" s="33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2"/>
    </row>
    <row r="73" spans="1:33" ht="20.100000000000001" customHeight="1" x14ac:dyDescent="0.25">
      <c r="A73" s="52" t="s">
        <v>35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8"/>
    </row>
    <row r="74" spans="1:33" ht="20.100000000000001" customHeight="1" x14ac:dyDescent="0.25">
      <c r="A74" s="41" t="s">
        <v>36</v>
      </c>
      <c r="B74" s="3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2"/>
    </row>
    <row r="75" spans="1:33" ht="20.100000000000001" customHeight="1" x14ac:dyDescent="0.25">
      <c r="A75" s="41" t="s">
        <v>23</v>
      </c>
      <c r="B75" s="33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2"/>
    </row>
    <row r="76" spans="1:33" ht="20.100000000000001" customHeight="1" x14ac:dyDescent="0.25">
      <c r="A76" s="29" t="s">
        <v>24</v>
      </c>
      <c r="B76" s="33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2"/>
    </row>
    <row r="77" spans="1:33" ht="20.100000000000001" customHeight="1" thickBot="1" x14ac:dyDescent="0.3">
      <c r="A77" s="26" t="s">
        <v>37</v>
      </c>
      <c r="B77" s="53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17"/>
    </row>
    <row r="78" spans="1:33" ht="20.100000000000001" customHeight="1" thickBot="1" x14ac:dyDescent="0.3">
      <c r="A78" s="55" t="s">
        <v>38</v>
      </c>
      <c r="B78" s="43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28"/>
    </row>
    <row r="79" spans="1:33" ht="20.100000000000001" customHeight="1" x14ac:dyDescent="0.25">
      <c r="A79" s="502" t="s">
        <v>117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6"/>
    </row>
    <row r="80" spans="1:33" ht="20.100000000000001" customHeight="1" thickBot="1" x14ac:dyDescent="0.3">
      <c r="A80" s="503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7"/>
    </row>
    <row r="81" spans="1:33" ht="20.100000000000001" customHeight="1" thickBot="1" x14ac:dyDescent="0.3">
      <c r="A81" s="58" t="s">
        <v>94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60"/>
    </row>
    <row r="82" spans="1:33" ht="20.100000000000001" customHeight="1" thickBot="1" x14ac:dyDescent="0.3">
      <c r="A82" s="61" t="s">
        <v>19</v>
      </c>
      <c r="B82" s="24">
        <v>1</v>
      </c>
      <c r="C82" s="25">
        <v>2</v>
      </c>
      <c r="D82" s="25">
        <v>3</v>
      </c>
      <c r="E82" s="25">
        <v>4</v>
      </c>
      <c r="F82" s="25">
        <v>5</v>
      </c>
      <c r="G82" s="25">
        <v>6</v>
      </c>
      <c r="H82" s="25">
        <v>7</v>
      </c>
      <c r="I82" s="25">
        <v>8</v>
      </c>
      <c r="J82" s="25">
        <v>9</v>
      </c>
      <c r="K82" s="25">
        <v>10</v>
      </c>
      <c r="L82" s="25">
        <v>11</v>
      </c>
      <c r="M82" s="25">
        <v>12</v>
      </c>
      <c r="N82" s="25">
        <v>13</v>
      </c>
      <c r="O82" s="25">
        <v>14</v>
      </c>
      <c r="P82" s="25">
        <v>15</v>
      </c>
      <c r="Q82" s="25">
        <v>16</v>
      </c>
      <c r="R82" s="25">
        <v>17</v>
      </c>
      <c r="S82" s="25">
        <v>18</v>
      </c>
      <c r="T82" s="25">
        <v>19</v>
      </c>
      <c r="U82" s="25">
        <v>20</v>
      </c>
      <c r="V82" s="25">
        <v>21</v>
      </c>
      <c r="W82" s="25">
        <v>22</v>
      </c>
      <c r="X82" s="25">
        <v>23</v>
      </c>
      <c r="Y82" s="25">
        <v>24</v>
      </c>
      <c r="Z82" s="25">
        <v>25</v>
      </c>
      <c r="AA82" s="25">
        <v>26</v>
      </c>
      <c r="AB82" s="25">
        <v>27</v>
      </c>
      <c r="AC82" s="25">
        <v>28</v>
      </c>
      <c r="AD82" s="25">
        <v>29</v>
      </c>
      <c r="AE82" s="25">
        <v>30</v>
      </c>
      <c r="AF82" s="25">
        <v>31</v>
      </c>
      <c r="AG82" s="15" t="s">
        <v>131</v>
      </c>
    </row>
    <row r="83" spans="1:33" ht="20.100000000000001" customHeight="1" x14ac:dyDescent="0.25">
      <c r="A83" s="49" t="s">
        <v>21</v>
      </c>
      <c r="B83" s="62">
        <f>+B84+B85+B86+B87</f>
        <v>0</v>
      </c>
      <c r="C83" s="62">
        <f t="shared" ref="C83:AF83" si="0">+C84+C85+C86+C87</f>
        <v>0</v>
      </c>
      <c r="D83" s="62">
        <f t="shared" si="0"/>
        <v>0</v>
      </c>
      <c r="E83" s="62">
        <f t="shared" si="0"/>
        <v>0</v>
      </c>
      <c r="F83" s="62">
        <f t="shared" si="0"/>
        <v>0</v>
      </c>
      <c r="G83" s="62">
        <f t="shared" si="0"/>
        <v>0</v>
      </c>
      <c r="H83" s="62">
        <f t="shared" si="0"/>
        <v>0</v>
      </c>
      <c r="I83" s="62">
        <f t="shared" si="0"/>
        <v>0</v>
      </c>
      <c r="J83" s="62">
        <f t="shared" si="0"/>
        <v>0</v>
      </c>
      <c r="K83" s="62">
        <f t="shared" si="0"/>
        <v>0</v>
      </c>
      <c r="L83" s="62">
        <f t="shared" si="0"/>
        <v>0</v>
      </c>
      <c r="M83" s="62">
        <f t="shared" si="0"/>
        <v>0</v>
      </c>
      <c r="N83" s="62">
        <f t="shared" si="0"/>
        <v>0</v>
      </c>
      <c r="O83" s="62">
        <f t="shared" si="0"/>
        <v>0</v>
      </c>
      <c r="P83" s="62">
        <f t="shared" si="0"/>
        <v>0</v>
      </c>
      <c r="Q83" s="62">
        <f t="shared" si="0"/>
        <v>0</v>
      </c>
      <c r="R83" s="62">
        <f t="shared" si="0"/>
        <v>0</v>
      </c>
      <c r="S83" s="62">
        <f t="shared" si="0"/>
        <v>0</v>
      </c>
      <c r="T83" s="62">
        <f t="shared" si="0"/>
        <v>0</v>
      </c>
      <c r="U83" s="62">
        <f t="shared" si="0"/>
        <v>0</v>
      </c>
      <c r="V83" s="62">
        <f t="shared" si="0"/>
        <v>0</v>
      </c>
      <c r="W83" s="62">
        <f t="shared" si="0"/>
        <v>0</v>
      </c>
      <c r="X83" s="62">
        <f t="shared" si="0"/>
        <v>0</v>
      </c>
      <c r="Y83" s="62">
        <f t="shared" si="0"/>
        <v>0</v>
      </c>
      <c r="Z83" s="62">
        <f t="shared" si="0"/>
        <v>0</v>
      </c>
      <c r="AA83" s="62">
        <f t="shared" si="0"/>
        <v>0</v>
      </c>
      <c r="AB83" s="62">
        <f t="shared" si="0"/>
        <v>0</v>
      </c>
      <c r="AC83" s="62">
        <f t="shared" si="0"/>
        <v>0</v>
      </c>
      <c r="AD83" s="62">
        <f t="shared" si="0"/>
        <v>0</v>
      </c>
      <c r="AE83" s="62">
        <f t="shared" si="0"/>
        <v>0</v>
      </c>
      <c r="AF83" s="62">
        <f t="shared" si="0"/>
        <v>0</v>
      </c>
      <c r="AG83" s="28">
        <f t="shared" ref="AG83:AG88" si="1">SUM(B83:AF83)</f>
        <v>0</v>
      </c>
    </row>
    <row r="84" spans="1:33" ht="20.100000000000001" customHeight="1" x14ac:dyDescent="0.25">
      <c r="A84" s="29" t="s">
        <v>22</v>
      </c>
      <c r="B84" s="33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2">
        <f t="shared" si="1"/>
        <v>0</v>
      </c>
    </row>
    <row r="85" spans="1:33" ht="20.100000000000001" customHeight="1" x14ac:dyDescent="0.25">
      <c r="A85" s="29" t="s">
        <v>23</v>
      </c>
      <c r="B85" s="33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2">
        <f t="shared" si="1"/>
        <v>0</v>
      </c>
    </row>
    <row r="86" spans="1:33" ht="20.100000000000001" customHeight="1" x14ac:dyDescent="0.25">
      <c r="A86" s="29" t="s">
        <v>24</v>
      </c>
      <c r="B86" s="33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2">
        <f t="shared" si="1"/>
        <v>0</v>
      </c>
    </row>
    <row r="87" spans="1:33" ht="20.100000000000001" customHeight="1" x14ac:dyDescent="0.25">
      <c r="A87" s="29" t="s">
        <v>25</v>
      </c>
      <c r="B87" s="33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2">
        <f t="shared" si="1"/>
        <v>0</v>
      </c>
    </row>
    <row r="88" spans="1:33" ht="20.100000000000001" customHeight="1" x14ac:dyDescent="0.25">
      <c r="A88" s="50" t="s">
        <v>26</v>
      </c>
      <c r="B88" s="62">
        <f>+B89+B90+B91+B92+B93+B94</f>
        <v>0</v>
      </c>
      <c r="C88" s="62">
        <f t="shared" ref="C88:AF88" si="2">+C89+C90+C91+C92+C93+C94</f>
        <v>0</v>
      </c>
      <c r="D88" s="62">
        <f t="shared" si="2"/>
        <v>0</v>
      </c>
      <c r="E88" s="62">
        <f t="shared" si="2"/>
        <v>0</v>
      </c>
      <c r="F88" s="62">
        <f t="shared" si="2"/>
        <v>0</v>
      </c>
      <c r="G88" s="62">
        <f t="shared" si="2"/>
        <v>0</v>
      </c>
      <c r="H88" s="62">
        <f t="shared" si="2"/>
        <v>0</v>
      </c>
      <c r="I88" s="62">
        <f t="shared" si="2"/>
        <v>0</v>
      </c>
      <c r="J88" s="62">
        <f t="shared" si="2"/>
        <v>0</v>
      </c>
      <c r="K88" s="62">
        <f t="shared" si="2"/>
        <v>0</v>
      </c>
      <c r="L88" s="62">
        <f t="shared" si="2"/>
        <v>0</v>
      </c>
      <c r="M88" s="62">
        <f t="shared" si="2"/>
        <v>0</v>
      </c>
      <c r="N88" s="62">
        <f t="shared" si="2"/>
        <v>0</v>
      </c>
      <c r="O88" s="62">
        <f t="shared" si="2"/>
        <v>0</v>
      </c>
      <c r="P88" s="62">
        <f t="shared" si="2"/>
        <v>0</v>
      </c>
      <c r="Q88" s="62">
        <f t="shared" si="2"/>
        <v>0</v>
      </c>
      <c r="R88" s="62">
        <f t="shared" si="2"/>
        <v>0</v>
      </c>
      <c r="S88" s="62">
        <f t="shared" si="2"/>
        <v>0</v>
      </c>
      <c r="T88" s="62">
        <f t="shared" si="2"/>
        <v>0</v>
      </c>
      <c r="U88" s="62">
        <f t="shared" si="2"/>
        <v>0</v>
      </c>
      <c r="V88" s="62">
        <f t="shared" si="2"/>
        <v>0</v>
      </c>
      <c r="W88" s="62">
        <f t="shared" si="2"/>
        <v>0</v>
      </c>
      <c r="X88" s="62">
        <f t="shared" si="2"/>
        <v>0</v>
      </c>
      <c r="Y88" s="62">
        <f t="shared" si="2"/>
        <v>0</v>
      </c>
      <c r="Z88" s="62">
        <f t="shared" si="2"/>
        <v>0</v>
      </c>
      <c r="AA88" s="62">
        <f t="shared" si="2"/>
        <v>0</v>
      </c>
      <c r="AB88" s="62">
        <f t="shared" si="2"/>
        <v>0</v>
      </c>
      <c r="AC88" s="62">
        <f t="shared" si="2"/>
        <v>0</v>
      </c>
      <c r="AD88" s="62">
        <f t="shared" si="2"/>
        <v>0</v>
      </c>
      <c r="AE88" s="62">
        <f t="shared" si="2"/>
        <v>0</v>
      </c>
      <c r="AF88" s="62">
        <f t="shared" si="2"/>
        <v>0</v>
      </c>
      <c r="AG88" s="28">
        <f t="shared" si="1"/>
        <v>0</v>
      </c>
    </row>
    <row r="89" spans="1:33" ht="20.100000000000001" customHeight="1" x14ac:dyDescent="0.25">
      <c r="A89" s="29" t="s">
        <v>27</v>
      </c>
      <c r="B89" s="33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2">
        <f t="shared" ref="AG89:AG94" si="3">SUM(B89:AF89)</f>
        <v>0</v>
      </c>
    </row>
    <row r="90" spans="1:33" ht="20.100000000000001" customHeight="1" x14ac:dyDescent="0.25">
      <c r="A90" s="29" t="s">
        <v>28</v>
      </c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2">
        <f t="shared" si="3"/>
        <v>0</v>
      </c>
    </row>
    <row r="91" spans="1:33" ht="20.100000000000001" customHeight="1" x14ac:dyDescent="0.25">
      <c r="A91" s="29" t="s">
        <v>101</v>
      </c>
      <c r="B91" s="33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2">
        <f t="shared" si="3"/>
        <v>0</v>
      </c>
    </row>
    <row r="92" spans="1:33" ht="20.100000000000001" customHeight="1" x14ac:dyDescent="0.25">
      <c r="A92" s="29" t="s">
        <v>102</v>
      </c>
      <c r="B92" s="33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2">
        <f t="shared" si="3"/>
        <v>0</v>
      </c>
    </row>
    <row r="93" spans="1:33" ht="20.100000000000001" customHeight="1" x14ac:dyDescent="0.25">
      <c r="A93" s="29" t="s">
        <v>103</v>
      </c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2">
        <f t="shared" si="3"/>
        <v>0</v>
      </c>
    </row>
    <row r="94" spans="1:33" ht="20.100000000000001" customHeight="1" x14ac:dyDescent="0.25">
      <c r="A94" s="29" t="s">
        <v>104</v>
      </c>
      <c r="B94" s="33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2">
        <f t="shared" si="3"/>
        <v>0</v>
      </c>
    </row>
    <row r="95" spans="1:33" ht="20.100000000000001" customHeight="1" x14ac:dyDescent="0.25">
      <c r="A95" s="51" t="s">
        <v>29</v>
      </c>
      <c r="B95" s="62">
        <f>+B96+B97+B98</f>
        <v>0</v>
      </c>
      <c r="C95" s="62">
        <f t="shared" ref="C95:AF95" si="4">+C96+C97+C98</f>
        <v>0</v>
      </c>
      <c r="D95" s="62">
        <f t="shared" si="4"/>
        <v>0</v>
      </c>
      <c r="E95" s="62">
        <f t="shared" si="4"/>
        <v>0</v>
      </c>
      <c r="F95" s="62">
        <f t="shared" si="4"/>
        <v>0</v>
      </c>
      <c r="G95" s="62">
        <f t="shared" si="4"/>
        <v>0</v>
      </c>
      <c r="H95" s="62">
        <f t="shared" si="4"/>
        <v>0</v>
      </c>
      <c r="I95" s="62">
        <f t="shared" si="4"/>
        <v>0</v>
      </c>
      <c r="J95" s="62">
        <f t="shared" si="4"/>
        <v>0</v>
      </c>
      <c r="K95" s="62">
        <f t="shared" si="4"/>
        <v>0</v>
      </c>
      <c r="L95" s="62">
        <f t="shared" si="4"/>
        <v>0</v>
      </c>
      <c r="M95" s="62">
        <f t="shared" si="4"/>
        <v>0</v>
      </c>
      <c r="N95" s="62">
        <f t="shared" si="4"/>
        <v>0</v>
      </c>
      <c r="O95" s="62">
        <f t="shared" si="4"/>
        <v>0</v>
      </c>
      <c r="P95" s="62">
        <f t="shared" si="4"/>
        <v>0</v>
      </c>
      <c r="Q95" s="62">
        <f t="shared" si="4"/>
        <v>0</v>
      </c>
      <c r="R95" s="62">
        <f t="shared" si="4"/>
        <v>0</v>
      </c>
      <c r="S95" s="62">
        <f t="shared" si="4"/>
        <v>0</v>
      </c>
      <c r="T95" s="62">
        <f t="shared" si="4"/>
        <v>0</v>
      </c>
      <c r="U95" s="62">
        <f t="shared" si="4"/>
        <v>0</v>
      </c>
      <c r="V95" s="62">
        <f t="shared" si="4"/>
        <v>0</v>
      </c>
      <c r="W95" s="62">
        <f t="shared" si="4"/>
        <v>0</v>
      </c>
      <c r="X95" s="62">
        <f t="shared" si="4"/>
        <v>0</v>
      </c>
      <c r="Y95" s="62">
        <f t="shared" si="4"/>
        <v>0</v>
      </c>
      <c r="Z95" s="62">
        <f t="shared" si="4"/>
        <v>0</v>
      </c>
      <c r="AA95" s="62">
        <f t="shared" si="4"/>
        <v>0</v>
      </c>
      <c r="AB95" s="62">
        <f t="shared" si="4"/>
        <v>0</v>
      </c>
      <c r="AC95" s="62">
        <f t="shared" si="4"/>
        <v>0</v>
      </c>
      <c r="AD95" s="62">
        <f t="shared" si="4"/>
        <v>0</v>
      </c>
      <c r="AE95" s="62">
        <f t="shared" si="4"/>
        <v>0</v>
      </c>
      <c r="AF95" s="62">
        <f t="shared" si="4"/>
        <v>0</v>
      </c>
      <c r="AG95" s="28">
        <f t="shared" ref="AG95:AG102" si="5">SUM(B95:AF95)</f>
        <v>0</v>
      </c>
    </row>
    <row r="96" spans="1:33" ht="20.100000000000001" customHeight="1" x14ac:dyDescent="0.25">
      <c r="A96" s="29" t="s">
        <v>22</v>
      </c>
      <c r="B96" s="33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2">
        <f t="shared" si="5"/>
        <v>0</v>
      </c>
    </row>
    <row r="97" spans="1:33" ht="20.100000000000001" customHeight="1" x14ac:dyDescent="0.25">
      <c r="A97" s="29" t="s">
        <v>24</v>
      </c>
      <c r="B97" s="33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2">
        <f t="shared" si="5"/>
        <v>0</v>
      </c>
    </row>
    <row r="98" spans="1:33" ht="20.100000000000001" customHeight="1" x14ac:dyDescent="0.25">
      <c r="A98" s="49" t="s">
        <v>30</v>
      </c>
      <c r="B98" s="62">
        <f>+B99+B100-B101+B102+B103+B104</f>
        <v>0</v>
      </c>
      <c r="C98" s="62">
        <f t="shared" ref="C98:AF98" si="6">+C99+C100-C101+C102+C103+C104</f>
        <v>0</v>
      </c>
      <c r="D98" s="62">
        <f t="shared" si="6"/>
        <v>0</v>
      </c>
      <c r="E98" s="62">
        <f t="shared" si="6"/>
        <v>0</v>
      </c>
      <c r="F98" s="62">
        <f t="shared" si="6"/>
        <v>0</v>
      </c>
      <c r="G98" s="62">
        <f t="shared" si="6"/>
        <v>0</v>
      </c>
      <c r="H98" s="62">
        <f t="shared" si="6"/>
        <v>0</v>
      </c>
      <c r="I98" s="62">
        <f t="shared" si="6"/>
        <v>0</v>
      </c>
      <c r="J98" s="62">
        <f t="shared" si="6"/>
        <v>0</v>
      </c>
      <c r="K98" s="62">
        <f t="shared" si="6"/>
        <v>0</v>
      </c>
      <c r="L98" s="62">
        <f t="shared" si="6"/>
        <v>0</v>
      </c>
      <c r="M98" s="62">
        <f t="shared" si="6"/>
        <v>0</v>
      </c>
      <c r="N98" s="62">
        <f t="shared" si="6"/>
        <v>0</v>
      </c>
      <c r="O98" s="62">
        <f t="shared" si="6"/>
        <v>0</v>
      </c>
      <c r="P98" s="62">
        <f t="shared" si="6"/>
        <v>0</v>
      </c>
      <c r="Q98" s="62">
        <f t="shared" si="6"/>
        <v>0</v>
      </c>
      <c r="R98" s="62">
        <f t="shared" si="6"/>
        <v>0</v>
      </c>
      <c r="S98" s="62">
        <f t="shared" si="6"/>
        <v>0</v>
      </c>
      <c r="T98" s="62">
        <f t="shared" si="6"/>
        <v>0</v>
      </c>
      <c r="U98" s="62">
        <f t="shared" si="6"/>
        <v>0</v>
      </c>
      <c r="V98" s="62">
        <f t="shared" si="6"/>
        <v>0</v>
      </c>
      <c r="W98" s="62">
        <f t="shared" si="6"/>
        <v>0</v>
      </c>
      <c r="X98" s="62">
        <f t="shared" si="6"/>
        <v>0</v>
      </c>
      <c r="Y98" s="62">
        <f t="shared" si="6"/>
        <v>0</v>
      </c>
      <c r="Z98" s="62">
        <f t="shared" si="6"/>
        <v>0</v>
      </c>
      <c r="AA98" s="62">
        <f t="shared" si="6"/>
        <v>0</v>
      </c>
      <c r="AB98" s="62">
        <f t="shared" si="6"/>
        <v>0</v>
      </c>
      <c r="AC98" s="62">
        <f t="shared" si="6"/>
        <v>0</v>
      </c>
      <c r="AD98" s="62">
        <f t="shared" si="6"/>
        <v>0</v>
      </c>
      <c r="AE98" s="62">
        <f t="shared" si="6"/>
        <v>0</v>
      </c>
      <c r="AF98" s="62">
        <f t="shared" si="6"/>
        <v>0</v>
      </c>
      <c r="AG98" s="28">
        <f t="shared" si="5"/>
        <v>0</v>
      </c>
    </row>
    <row r="99" spans="1:33" ht="20.100000000000001" customHeight="1" x14ac:dyDescent="0.25">
      <c r="A99" s="29" t="s">
        <v>98</v>
      </c>
      <c r="B99" s="33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2">
        <f t="shared" si="5"/>
        <v>0</v>
      </c>
    </row>
    <row r="100" spans="1:33" ht="20.100000000000001" customHeight="1" x14ac:dyDescent="0.25">
      <c r="A100" s="29" t="s">
        <v>99</v>
      </c>
      <c r="B100" s="33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2">
        <f t="shared" si="5"/>
        <v>0</v>
      </c>
    </row>
    <row r="101" spans="1:33" ht="20.100000000000001" customHeight="1" x14ac:dyDescent="0.25">
      <c r="A101" s="29" t="s">
        <v>23</v>
      </c>
      <c r="B101" s="33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2">
        <f t="shared" si="5"/>
        <v>0</v>
      </c>
    </row>
    <row r="102" spans="1:33" ht="20.100000000000001" customHeight="1" x14ac:dyDescent="0.25">
      <c r="A102" s="29" t="s">
        <v>24</v>
      </c>
      <c r="B102" s="33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2">
        <f t="shared" si="5"/>
        <v>0</v>
      </c>
    </row>
    <row r="103" spans="1:33" ht="20.100000000000001" customHeight="1" x14ac:dyDescent="0.25">
      <c r="A103" s="38" t="s">
        <v>31</v>
      </c>
      <c r="B103" s="33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2"/>
    </row>
    <row r="104" spans="1:33" ht="20.100000000000001" customHeight="1" x14ac:dyDescent="0.25">
      <c r="A104" s="39" t="s">
        <v>32</v>
      </c>
      <c r="B104" s="33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2">
        <f t="shared" ref="AG104:AG112" si="7">SUM(B104:AF104)</f>
        <v>0</v>
      </c>
    </row>
    <row r="105" spans="1:33" ht="20.100000000000001" customHeight="1" x14ac:dyDescent="0.25">
      <c r="A105" s="51" t="s">
        <v>33</v>
      </c>
      <c r="B105" s="62">
        <f>+B106+B107+B108</f>
        <v>0</v>
      </c>
      <c r="C105" s="62">
        <f t="shared" ref="C105:AF105" si="8">+C106+C107+C108</f>
        <v>0</v>
      </c>
      <c r="D105" s="62">
        <f t="shared" si="8"/>
        <v>0</v>
      </c>
      <c r="E105" s="62">
        <f t="shared" si="8"/>
        <v>0</v>
      </c>
      <c r="F105" s="62">
        <f t="shared" si="8"/>
        <v>0</v>
      </c>
      <c r="G105" s="62">
        <f t="shared" si="8"/>
        <v>0</v>
      </c>
      <c r="H105" s="62">
        <f t="shared" si="8"/>
        <v>0</v>
      </c>
      <c r="I105" s="62">
        <f t="shared" si="8"/>
        <v>0</v>
      </c>
      <c r="J105" s="62">
        <f t="shared" si="8"/>
        <v>0</v>
      </c>
      <c r="K105" s="62">
        <f t="shared" si="8"/>
        <v>0</v>
      </c>
      <c r="L105" s="62">
        <f t="shared" si="8"/>
        <v>0</v>
      </c>
      <c r="M105" s="62">
        <f t="shared" si="8"/>
        <v>0</v>
      </c>
      <c r="N105" s="62">
        <f t="shared" si="8"/>
        <v>0</v>
      </c>
      <c r="O105" s="62">
        <f t="shared" si="8"/>
        <v>0</v>
      </c>
      <c r="P105" s="62">
        <f t="shared" si="8"/>
        <v>0</v>
      </c>
      <c r="Q105" s="62">
        <f t="shared" si="8"/>
        <v>0</v>
      </c>
      <c r="R105" s="62">
        <f t="shared" si="8"/>
        <v>0</v>
      </c>
      <c r="S105" s="62">
        <f t="shared" si="8"/>
        <v>0</v>
      </c>
      <c r="T105" s="62">
        <f t="shared" si="8"/>
        <v>0</v>
      </c>
      <c r="U105" s="62">
        <f t="shared" si="8"/>
        <v>0</v>
      </c>
      <c r="V105" s="62">
        <f t="shared" si="8"/>
        <v>0</v>
      </c>
      <c r="W105" s="62">
        <f t="shared" si="8"/>
        <v>0</v>
      </c>
      <c r="X105" s="62">
        <f t="shared" si="8"/>
        <v>0</v>
      </c>
      <c r="Y105" s="62">
        <f t="shared" si="8"/>
        <v>0</v>
      </c>
      <c r="Z105" s="62">
        <f t="shared" si="8"/>
        <v>0</v>
      </c>
      <c r="AA105" s="62">
        <f t="shared" si="8"/>
        <v>0</v>
      </c>
      <c r="AB105" s="62">
        <f t="shared" si="8"/>
        <v>0</v>
      </c>
      <c r="AC105" s="62">
        <f t="shared" si="8"/>
        <v>0</v>
      </c>
      <c r="AD105" s="62">
        <f t="shared" si="8"/>
        <v>0</v>
      </c>
      <c r="AE105" s="62">
        <f t="shared" si="8"/>
        <v>0</v>
      </c>
      <c r="AF105" s="62">
        <f t="shared" si="8"/>
        <v>0</v>
      </c>
      <c r="AG105" s="28">
        <f t="shared" si="7"/>
        <v>0</v>
      </c>
    </row>
    <row r="106" spans="1:33" ht="20.100000000000001" customHeight="1" x14ac:dyDescent="0.25">
      <c r="A106" s="29" t="s">
        <v>34</v>
      </c>
      <c r="B106" s="33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2">
        <f t="shared" si="7"/>
        <v>0</v>
      </c>
    </row>
    <row r="107" spans="1:33" ht="20.100000000000001" customHeight="1" x14ac:dyDescent="0.25">
      <c r="A107" s="29" t="s">
        <v>23</v>
      </c>
      <c r="B107" s="33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2">
        <f t="shared" si="7"/>
        <v>0</v>
      </c>
    </row>
    <row r="108" spans="1:33" ht="20.100000000000001" customHeight="1" x14ac:dyDescent="0.25">
      <c r="A108" s="29" t="s">
        <v>24</v>
      </c>
      <c r="B108" s="33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2">
        <f t="shared" si="7"/>
        <v>0</v>
      </c>
    </row>
    <row r="109" spans="1:33" ht="20.100000000000001" customHeight="1" x14ac:dyDescent="0.25">
      <c r="A109" s="52" t="s">
        <v>35</v>
      </c>
      <c r="B109" s="62">
        <f>+B110+B111+B112</f>
        <v>0</v>
      </c>
      <c r="C109" s="62">
        <f t="shared" ref="C109:AF109" si="9">+C110+C111+C112</f>
        <v>0</v>
      </c>
      <c r="D109" s="62">
        <f t="shared" si="9"/>
        <v>0</v>
      </c>
      <c r="E109" s="62">
        <f t="shared" si="9"/>
        <v>0</v>
      </c>
      <c r="F109" s="62">
        <f t="shared" si="9"/>
        <v>0</v>
      </c>
      <c r="G109" s="62">
        <f t="shared" si="9"/>
        <v>0</v>
      </c>
      <c r="H109" s="62">
        <f t="shared" si="9"/>
        <v>0</v>
      </c>
      <c r="I109" s="62">
        <f t="shared" si="9"/>
        <v>0</v>
      </c>
      <c r="J109" s="62">
        <f t="shared" si="9"/>
        <v>0</v>
      </c>
      <c r="K109" s="62">
        <f t="shared" si="9"/>
        <v>0</v>
      </c>
      <c r="L109" s="62">
        <f t="shared" si="9"/>
        <v>0</v>
      </c>
      <c r="M109" s="62">
        <f t="shared" si="9"/>
        <v>0</v>
      </c>
      <c r="N109" s="62">
        <f t="shared" si="9"/>
        <v>0</v>
      </c>
      <c r="O109" s="62">
        <f t="shared" si="9"/>
        <v>0</v>
      </c>
      <c r="P109" s="62">
        <f t="shared" si="9"/>
        <v>0</v>
      </c>
      <c r="Q109" s="62">
        <f t="shared" si="9"/>
        <v>0</v>
      </c>
      <c r="R109" s="62">
        <f t="shared" si="9"/>
        <v>0</v>
      </c>
      <c r="S109" s="62">
        <f t="shared" si="9"/>
        <v>0</v>
      </c>
      <c r="T109" s="62">
        <f t="shared" si="9"/>
        <v>0</v>
      </c>
      <c r="U109" s="62">
        <f t="shared" si="9"/>
        <v>0</v>
      </c>
      <c r="V109" s="62">
        <f t="shared" si="9"/>
        <v>0</v>
      </c>
      <c r="W109" s="62">
        <f t="shared" si="9"/>
        <v>0</v>
      </c>
      <c r="X109" s="62">
        <f t="shared" si="9"/>
        <v>0</v>
      </c>
      <c r="Y109" s="62">
        <f t="shared" si="9"/>
        <v>0</v>
      </c>
      <c r="Z109" s="62">
        <f t="shared" si="9"/>
        <v>0</v>
      </c>
      <c r="AA109" s="62">
        <f t="shared" si="9"/>
        <v>0</v>
      </c>
      <c r="AB109" s="62">
        <f t="shared" si="9"/>
        <v>0</v>
      </c>
      <c r="AC109" s="62">
        <f t="shared" si="9"/>
        <v>0</v>
      </c>
      <c r="AD109" s="62">
        <f t="shared" si="9"/>
        <v>0</v>
      </c>
      <c r="AE109" s="62">
        <f t="shared" si="9"/>
        <v>0</v>
      </c>
      <c r="AF109" s="62">
        <f t="shared" si="9"/>
        <v>0</v>
      </c>
      <c r="AG109" s="28">
        <f t="shared" si="7"/>
        <v>0</v>
      </c>
    </row>
    <row r="110" spans="1:33" ht="20.100000000000001" customHeight="1" x14ac:dyDescent="0.25">
      <c r="A110" s="41" t="s">
        <v>36</v>
      </c>
      <c r="B110" s="33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2">
        <f t="shared" si="7"/>
        <v>0</v>
      </c>
    </row>
    <row r="111" spans="1:33" ht="20.100000000000001" customHeight="1" x14ac:dyDescent="0.25">
      <c r="A111" s="41" t="s">
        <v>23</v>
      </c>
      <c r="B111" s="33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2">
        <f t="shared" si="7"/>
        <v>0</v>
      </c>
    </row>
    <row r="112" spans="1:33" ht="20.100000000000001" customHeight="1" x14ac:dyDescent="0.25">
      <c r="A112" s="29" t="s">
        <v>24</v>
      </c>
      <c r="B112" s="33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2">
        <f t="shared" si="7"/>
        <v>0</v>
      </c>
    </row>
    <row r="113" spans="1:33" ht="20.100000000000001" customHeight="1" thickBot="1" x14ac:dyDescent="0.3">
      <c r="A113" s="63" t="s">
        <v>37</v>
      </c>
      <c r="B113" s="6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6">
        <f>+AG109+AG105+AG98+AG95+AG88+AG83</f>
        <v>0</v>
      </c>
    </row>
    <row r="114" spans="1:33" ht="20.100000000000001" customHeight="1" thickBot="1" x14ac:dyDescent="0.3">
      <c r="A114" s="58" t="s">
        <v>120</v>
      </c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8"/>
    </row>
    <row r="115" spans="1:33" ht="20.100000000000001" customHeight="1" thickBot="1" x14ac:dyDescent="0.3">
      <c r="A115" s="61" t="s">
        <v>19</v>
      </c>
      <c r="B115" s="24">
        <v>1</v>
      </c>
      <c r="C115" s="25">
        <v>2</v>
      </c>
      <c r="D115" s="25">
        <v>3</v>
      </c>
      <c r="E115" s="25">
        <v>4</v>
      </c>
      <c r="F115" s="25">
        <v>5</v>
      </c>
      <c r="G115" s="25">
        <v>6</v>
      </c>
      <c r="H115" s="25">
        <v>7</v>
      </c>
      <c r="I115" s="25">
        <v>8</v>
      </c>
      <c r="J115" s="25">
        <v>9</v>
      </c>
      <c r="K115" s="25">
        <v>10</v>
      </c>
      <c r="L115" s="25">
        <v>11</v>
      </c>
      <c r="M115" s="25">
        <v>12</v>
      </c>
      <c r="N115" s="25">
        <v>13</v>
      </c>
      <c r="O115" s="25">
        <v>14</v>
      </c>
      <c r="P115" s="25">
        <v>15</v>
      </c>
      <c r="Q115" s="25">
        <v>16</v>
      </c>
      <c r="R115" s="25">
        <v>17</v>
      </c>
      <c r="S115" s="25">
        <v>18</v>
      </c>
      <c r="T115" s="25">
        <v>19</v>
      </c>
      <c r="U115" s="25">
        <v>20</v>
      </c>
      <c r="V115" s="25">
        <v>21</v>
      </c>
      <c r="W115" s="25">
        <v>22</v>
      </c>
      <c r="X115" s="25">
        <v>23</v>
      </c>
      <c r="Y115" s="25">
        <v>24</v>
      </c>
      <c r="Z115" s="25">
        <v>25</v>
      </c>
      <c r="AA115" s="25">
        <v>26</v>
      </c>
      <c r="AB115" s="25">
        <v>27</v>
      </c>
      <c r="AC115" s="25">
        <v>28</v>
      </c>
      <c r="AD115" s="25">
        <v>29</v>
      </c>
      <c r="AE115" s="25">
        <v>30</v>
      </c>
      <c r="AF115" s="25">
        <v>31</v>
      </c>
      <c r="AG115" s="15" t="s">
        <v>131</v>
      </c>
    </row>
    <row r="116" spans="1:33" ht="20.100000000000001" customHeight="1" x14ac:dyDescent="0.25">
      <c r="A116" s="49" t="s">
        <v>21</v>
      </c>
      <c r="B116" s="62">
        <f>+B117+B118+B119+B120</f>
        <v>0</v>
      </c>
      <c r="C116" s="62">
        <f t="shared" ref="C116:AF116" si="10">+C117+C118+C119+C120</f>
        <v>0</v>
      </c>
      <c r="D116" s="62">
        <f t="shared" si="10"/>
        <v>0</v>
      </c>
      <c r="E116" s="62">
        <f t="shared" si="10"/>
        <v>0</v>
      </c>
      <c r="F116" s="62">
        <f t="shared" si="10"/>
        <v>0</v>
      </c>
      <c r="G116" s="62">
        <f t="shared" si="10"/>
        <v>0</v>
      </c>
      <c r="H116" s="62">
        <f t="shared" si="10"/>
        <v>0</v>
      </c>
      <c r="I116" s="62">
        <f t="shared" si="10"/>
        <v>0</v>
      </c>
      <c r="J116" s="62">
        <f t="shared" si="10"/>
        <v>0</v>
      </c>
      <c r="K116" s="62">
        <f t="shared" si="10"/>
        <v>0</v>
      </c>
      <c r="L116" s="62">
        <f t="shared" si="10"/>
        <v>0</v>
      </c>
      <c r="M116" s="62">
        <f t="shared" si="10"/>
        <v>0</v>
      </c>
      <c r="N116" s="62">
        <f t="shared" si="10"/>
        <v>0</v>
      </c>
      <c r="O116" s="62">
        <f t="shared" si="10"/>
        <v>0</v>
      </c>
      <c r="P116" s="62">
        <f t="shared" si="10"/>
        <v>0</v>
      </c>
      <c r="Q116" s="62">
        <f t="shared" si="10"/>
        <v>0</v>
      </c>
      <c r="R116" s="62">
        <f t="shared" si="10"/>
        <v>0</v>
      </c>
      <c r="S116" s="62">
        <f t="shared" si="10"/>
        <v>0</v>
      </c>
      <c r="T116" s="62">
        <f t="shared" si="10"/>
        <v>0</v>
      </c>
      <c r="U116" s="62">
        <f t="shared" si="10"/>
        <v>0</v>
      </c>
      <c r="V116" s="62">
        <f t="shared" si="10"/>
        <v>0</v>
      </c>
      <c r="W116" s="62">
        <f t="shared" si="10"/>
        <v>0</v>
      </c>
      <c r="X116" s="62">
        <f t="shared" si="10"/>
        <v>0</v>
      </c>
      <c r="Y116" s="62">
        <f t="shared" si="10"/>
        <v>0</v>
      </c>
      <c r="Z116" s="62">
        <f t="shared" si="10"/>
        <v>0</v>
      </c>
      <c r="AA116" s="62">
        <f t="shared" si="10"/>
        <v>0</v>
      </c>
      <c r="AB116" s="62">
        <f t="shared" si="10"/>
        <v>0</v>
      </c>
      <c r="AC116" s="62">
        <f t="shared" si="10"/>
        <v>0</v>
      </c>
      <c r="AD116" s="62">
        <f t="shared" si="10"/>
        <v>0</v>
      </c>
      <c r="AE116" s="62">
        <f t="shared" si="10"/>
        <v>0</v>
      </c>
      <c r="AF116" s="62">
        <f t="shared" si="10"/>
        <v>0</v>
      </c>
      <c r="AG116" s="28">
        <f t="shared" ref="AG116:AG121" si="11">SUM(B116:AF116)</f>
        <v>0</v>
      </c>
    </row>
    <row r="117" spans="1:33" ht="20.100000000000001" customHeight="1" x14ac:dyDescent="0.25">
      <c r="A117" s="29" t="s">
        <v>22</v>
      </c>
      <c r="B117" s="33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2">
        <f t="shared" si="11"/>
        <v>0</v>
      </c>
    </row>
    <row r="118" spans="1:33" ht="20.100000000000001" customHeight="1" x14ac:dyDescent="0.25">
      <c r="A118" s="29" t="s">
        <v>23</v>
      </c>
      <c r="B118" s="33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2">
        <f t="shared" si="11"/>
        <v>0</v>
      </c>
    </row>
    <row r="119" spans="1:33" ht="20.100000000000001" customHeight="1" x14ac:dyDescent="0.25">
      <c r="A119" s="29" t="s">
        <v>24</v>
      </c>
      <c r="B119" s="33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2">
        <f t="shared" si="11"/>
        <v>0</v>
      </c>
    </row>
    <row r="120" spans="1:33" ht="20.100000000000001" customHeight="1" x14ac:dyDescent="0.25">
      <c r="A120" s="29" t="s">
        <v>25</v>
      </c>
      <c r="B120" s="33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2">
        <f t="shared" si="11"/>
        <v>0</v>
      </c>
    </row>
    <row r="121" spans="1:33" ht="20.100000000000001" customHeight="1" x14ac:dyDescent="0.25">
      <c r="A121" s="50" t="s">
        <v>26</v>
      </c>
      <c r="B121" s="62">
        <f>+B122+B123+B124+B125+B126+B127</f>
        <v>0</v>
      </c>
      <c r="C121" s="62">
        <f t="shared" ref="C121:AF121" si="12">+C122+C123+C124+C125+C126+C127</f>
        <v>0</v>
      </c>
      <c r="D121" s="62">
        <f t="shared" si="12"/>
        <v>0</v>
      </c>
      <c r="E121" s="62">
        <f t="shared" si="12"/>
        <v>0</v>
      </c>
      <c r="F121" s="62">
        <f t="shared" si="12"/>
        <v>0</v>
      </c>
      <c r="G121" s="62">
        <f t="shared" si="12"/>
        <v>0</v>
      </c>
      <c r="H121" s="62">
        <f t="shared" si="12"/>
        <v>0</v>
      </c>
      <c r="I121" s="62">
        <f t="shared" si="12"/>
        <v>0</v>
      </c>
      <c r="J121" s="62">
        <f t="shared" si="12"/>
        <v>0</v>
      </c>
      <c r="K121" s="62">
        <f t="shared" si="12"/>
        <v>0</v>
      </c>
      <c r="L121" s="62">
        <f t="shared" si="12"/>
        <v>0</v>
      </c>
      <c r="M121" s="62">
        <f t="shared" si="12"/>
        <v>0</v>
      </c>
      <c r="N121" s="62">
        <f t="shared" si="12"/>
        <v>0</v>
      </c>
      <c r="O121" s="62">
        <f t="shared" si="12"/>
        <v>0</v>
      </c>
      <c r="P121" s="62">
        <f t="shared" si="12"/>
        <v>0</v>
      </c>
      <c r="Q121" s="62">
        <f t="shared" si="12"/>
        <v>0</v>
      </c>
      <c r="R121" s="62">
        <f t="shared" si="12"/>
        <v>0</v>
      </c>
      <c r="S121" s="62">
        <f t="shared" si="12"/>
        <v>0</v>
      </c>
      <c r="T121" s="62">
        <f t="shared" si="12"/>
        <v>0</v>
      </c>
      <c r="U121" s="62">
        <f t="shared" si="12"/>
        <v>0</v>
      </c>
      <c r="V121" s="62">
        <f t="shared" si="12"/>
        <v>0</v>
      </c>
      <c r="W121" s="62">
        <f t="shared" si="12"/>
        <v>0</v>
      </c>
      <c r="X121" s="62">
        <f t="shared" si="12"/>
        <v>0</v>
      </c>
      <c r="Y121" s="62">
        <f t="shared" si="12"/>
        <v>0</v>
      </c>
      <c r="Z121" s="62">
        <f t="shared" si="12"/>
        <v>0</v>
      </c>
      <c r="AA121" s="62">
        <f t="shared" si="12"/>
        <v>0</v>
      </c>
      <c r="AB121" s="62">
        <f t="shared" si="12"/>
        <v>0</v>
      </c>
      <c r="AC121" s="62">
        <f t="shared" si="12"/>
        <v>0</v>
      </c>
      <c r="AD121" s="62">
        <f t="shared" si="12"/>
        <v>0</v>
      </c>
      <c r="AE121" s="62">
        <f t="shared" si="12"/>
        <v>0</v>
      </c>
      <c r="AF121" s="62">
        <f t="shared" si="12"/>
        <v>0</v>
      </c>
      <c r="AG121" s="28">
        <f t="shared" si="11"/>
        <v>0</v>
      </c>
    </row>
    <row r="122" spans="1:33" ht="20.100000000000001" customHeight="1" x14ac:dyDescent="0.25">
      <c r="A122" s="29" t="s">
        <v>27</v>
      </c>
      <c r="B122" s="33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2">
        <f t="shared" ref="AG122:AG127" si="13">SUM(B122:AF122)</f>
        <v>0</v>
      </c>
    </row>
    <row r="123" spans="1:33" ht="20.100000000000001" customHeight="1" x14ac:dyDescent="0.25">
      <c r="A123" s="29" t="s">
        <v>28</v>
      </c>
      <c r="B123" s="33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2">
        <f t="shared" si="13"/>
        <v>0</v>
      </c>
    </row>
    <row r="124" spans="1:33" ht="20.100000000000001" customHeight="1" x14ac:dyDescent="0.25">
      <c r="A124" s="29" t="s">
        <v>101</v>
      </c>
      <c r="B124" s="33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2">
        <f t="shared" si="13"/>
        <v>0</v>
      </c>
    </row>
    <row r="125" spans="1:33" ht="20.100000000000001" customHeight="1" x14ac:dyDescent="0.25">
      <c r="A125" s="29" t="s">
        <v>102</v>
      </c>
      <c r="B125" s="33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2">
        <f t="shared" si="13"/>
        <v>0</v>
      </c>
    </row>
    <row r="126" spans="1:33" ht="20.100000000000001" customHeight="1" x14ac:dyDescent="0.25">
      <c r="A126" s="29" t="s">
        <v>103</v>
      </c>
      <c r="B126" s="33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2">
        <f t="shared" si="13"/>
        <v>0</v>
      </c>
    </row>
    <row r="127" spans="1:33" ht="20.100000000000001" customHeight="1" x14ac:dyDescent="0.25">
      <c r="A127" s="29" t="s">
        <v>104</v>
      </c>
      <c r="B127" s="33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2">
        <f t="shared" si="13"/>
        <v>0</v>
      </c>
    </row>
    <row r="128" spans="1:33" ht="20.100000000000001" customHeight="1" x14ac:dyDescent="0.25">
      <c r="A128" s="51" t="s">
        <v>29</v>
      </c>
      <c r="B128" s="62">
        <f>+B129+B130</f>
        <v>0</v>
      </c>
      <c r="C128" s="62">
        <f t="shared" ref="C128:AF128" si="14">+C129+C130</f>
        <v>0</v>
      </c>
      <c r="D128" s="62">
        <f t="shared" si="14"/>
        <v>0</v>
      </c>
      <c r="E128" s="62">
        <f t="shared" si="14"/>
        <v>0</v>
      </c>
      <c r="F128" s="62">
        <f t="shared" si="14"/>
        <v>0</v>
      </c>
      <c r="G128" s="62">
        <f t="shared" si="14"/>
        <v>0</v>
      </c>
      <c r="H128" s="62">
        <f t="shared" si="14"/>
        <v>0</v>
      </c>
      <c r="I128" s="62">
        <f t="shared" si="14"/>
        <v>0</v>
      </c>
      <c r="J128" s="62">
        <f t="shared" si="14"/>
        <v>0</v>
      </c>
      <c r="K128" s="62">
        <f t="shared" si="14"/>
        <v>0</v>
      </c>
      <c r="L128" s="62">
        <f t="shared" si="14"/>
        <v>0</v>
      </c>
      <c r="M128" s="62">
        <f t="shared" si="14"/>
        <v>0</v>
      </c>
      <c r="N128" s="62">
        <f t="shared" si="14"/>
        <v>0</v>
      </c>
      <c r="O128" s="62">
        <f t="shared" si="14"/>
        <v>0</v>
      </c>
      <c r="P128" s="62">
        <f t="shared" si="14"/>
        <v>0</v>
      </c>
      <c r="Q128" s="62">
        <f t="shared" si="14"/>
        <v>0</v>
      </c>
      <c r="R128" s="62">
        <f t="shared" si="14"/>
        <v>0</v>
      </c>
      <c r="S128" s="62">
        <f t="shared" si="14"/>
        <v>0</v>
      </c>
      <c r="T128" s="62">
        <f t="shared" si="14"/>
        <v>0</v>
      </c>
      <c r="U128" s="62">
        <f t="shared" si="14"/>
        <v>0</v>
      </c>
      <c r="V128" s="62">
        <f t="shared" si="14"/>
        <v>0</v>
      </c>
      <c r="W128" s="62">
        <f t="shared" si="14"/>
        <v>0</v>
      </c>
      <c r="X128" s="62">
        <f t="shared" si="14"/>
        <v>0</v>
      </c>
      <c r="Y128" s="62">
        <f t="shared" si="14"/>
        <v>0</v>
      </c>
      <c r="Z128" s="62">
        <f t="shared" si="14"/>
        <v>0</v>
      </c>
      <c r="AA128" s="62">
        <f t="shared" si="14"/>
        <v>0</v>
      </c>
      <c r="AB128" s="62">
        <f t="shared" si="14"/>
        <v>0</v>
      </c>
      <c r="AC128" s="62">
        <f t="shared" si="14"/>
        <v>0</v>
      </c>
      <c r="AD128" s="62">
        <f t="shared" si="14"/>
        <v>0</v>
      </c>
      <c r="AE128" s="62">
        <f t="shared" si="14"/>
        <v>0</v>
      </c>
      <c r="AF128" s="62">
        <f t="shared" si="14"/>
        <v>0</v>
      </c>
      <c r="AG128" s="28">
        <f>SUM(B128:AF128)</f>
        <v>0</v>
      </c>
    </row>
    <row r="129" spans="1:33" ht="20.100000000000001" customHeight="1" x14ac:dyDescent="0.25">
      <c r="A129" s="29" t="s">
        <v>22</v>
      </c>
      <c r="B129" s="33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2">
        <f>SUM(B129:AF129)</f>
        <v>0</v>
      </c>
    </row>
    <row r="130" spans="1:33" ht="20.100000000000001" customHeight="1" x14ac:dyDescent="0.25">
      <c r="A130" s="29" t="s">
        <v>24</v>
      </c>
      <c r="B130" s="33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2">
        <f>SUM(B130:AF130)</f>
        <v>0</v>
      </c>
    </row>
    <row r="131" spans="1:33" ht="20.100000000000001" customHeight="1" x14ac:dyDescent="0.25">
      <c r="A131" s="49" t="s">
        <v>30</v>
      </c>
      <c r="B131" s="62">
        <f>+B132+B133+B134+B135+B136+B137</f>
        <v>0</v>
      </c>
      <c r="C131" s="62">
        <f t="shared" ref="C131:AG131" si="15">+C132+C133+C134+C135+C136+C137</f>
        <v>0</v>
      </c>
      <c r="D131" s="62">
        <f t="shared" si="15"/>
        <v>0</v>
      </c>
      <c r="E131" s="62">
        <f t="shared" si="15"/>
        <v>0</v>
      </c>
      <c r="F131" s="62">
        <f t="shared" si="15"/>
        <v>0</v>
      </c>
      <c r="G131" s="62">
        <f t="shared" si="15"/>
        <v>0</v>
      </c>
      <c r="H131" s="62">
        <f t="shared" si="15"/>
        <v>0</v>
      </c>
      <c r="I131" s="62">
        <f t="shared" si="15"/>
        <v>0</v>
      </c>
      <c r="J131" s="62">
        <f t="shared" si="15"/>
        <v>0</v>
      </c>
      <c r="K131" s="62">
        <f t="shared" si="15"/>
        <v>0</v>
      </c>
      <c r="L131" s="62">
        <f t="shared" si="15"/>
        <v>0</v>
      </c>
      <c r="M131" s="62">
        <f t="shared" si="15"/>
        <v>0</v>
      </c>
      <c r="N131" s="62">
        <f t="shared" si="15"/>
        <v>0</v>
      </c>
      <c r="O131" s="62">
        <f t="shared" si="15"/>
        <v>0</v>
      </c>
      <c r="P131" s="62">
        <f t="shared" si="15"/>
        <v>0</v>
      </c>
      <c r="Q131" s="62">
        <f t="shared" si="15"/>
        <v>0</v>
      </c>
      <c r="R131" s="62">
        <f t="shared" si="15"/>
        <v>0</v>
      </c>
      <c r="S131" s="62">
        <f t="shared" si="15"/>
        <v>0</v>
      </c>
      <c r="T131" s="62">
        <f t="shared" si="15"/>
        <v>0</v>
      </c>
      <c r="U131" s="62">
        <f t="shared" si="15"/>
        <v>0</v>
      </c>
      <c r="V131" s="62">
        <f t="shared" si="15"/>
        <v>0</v>
      </c>
      <c r="W131" s="62">
        <f t="shared" si="15"/>
        <v>0</v>
      </c>
      <c r="X131" s="62">
        <f t="shared" si="15"/>
        <v>0</v>
      </c>
      <c r="Y131" s="62">
        <f t="shared" si="15"/>
        <v>0</v>
      </c>
      <c r="Z131" s="62">
        <f t="shared" si="15"/>
        <v>0</v>
      </c>
      <c r="AA131" s="62">
        <f t="shared" si="15"/>
        <v>0</v>
      </c>
      <c r="AB131" s="62">
        <f t="shared" si="15"/>
        <v>0</v>
      </c>
      <c r="AC131" s="62">
        <f t="shared" si="15"/>
        <v>0</v>
      </c>
      <c r="AD131" s="62">
        <f t="shared" si="15"/>
        <v>0</v>
      </c>
      <c r="AE131" s="62">
        <f t="shared" si="15"/>
        <v>0</v>
      </c>
      <c r="AF131" s="62">
        <f t="shared" si="15"/>
        <v>0</v>
      </c>
      <c r="AG131" s="62">
        <f t="shared" si="15"/>
        <v>0</v>
      </c>
    </row>
    <row r="132" spans="1:33" ht="20.100000000000001" customHeight="1" x14ac:dyDescent="0.25">
      <c r="A132" s="29" t="s">
        <v>98</v>
      </c>
      <c r="B132" s="33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2">
        <f t="shared" ref="AG132:AG145" si="16">SUM(B132:AF132)</f>
        <v>0</v>
      </c>
    </row>
    <row r="133" spans="1:33" ht="20.100000000000001" customHeight="1" x14ac:dyDescent="0.25">
      <c r="A133" s="29" t="s">
        <v>99</v>
      </c>
      <c r="B133" s="33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2">
        <f t="shared" si="16"/>
        <v>0</v>
      </c>
    </row>
    <row r="134" spans="1:33" ht="20.100000000000001" customHeight="1" x14ac:dyDescent="0.25">
      <c r="A134" s="29" t="s">
        <v>23</v>
      </c>
      <c r="B134" s="33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2">
        <f t="shared" si="16"/>
        <v>0</v>
      </c>
    </row>
    <row r="135" spans="1:33" ht="20.100000000000001" customHeight="1" x14ac:dyDescent="0.25">
      <c r="A135" s="29" t="s">
        <v>24</v>
      </c>
      <c r="B135" s="33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2">
        <f t="shared" si="16"/>
        <v>0</v>
      </c>
    </row>
    <row r="136" spans="1:33" ht="20.100000000000001" customHeight="1" x14ac:dyDescent="0.25">
      <c r="A136" s="38" t="s">
        <v>31</v>
      </c>
      <c r="B136" s="33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2">
        <f t="shared" si="16"/>
        <v>0</v>
      </c>
    </row>
    <row r="137" spans="1:33" ht="20.100000000000001" customHeight="1" x14ac:dyDescent="0.25">
      <c r="A137" s="39" t="s">
        <v>32</v>
      </c>
      <c r="B137" s="33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2">
        <f t="shared" si="16"/>
        <v>0</v>
      </c>
    </row>
    <row r="138" spans="1:33" ht="20.100000000000001" customHeight="1" x14ac:dyDescent="0.25">
      <c r="A138" s="51" t="s">
        <v>33</v>
      </c>
      <c r="B138" s="62">
        <f>+B139+B140+B141</f>
        <v>0</v>
      </c>
      <c r="C138" s="62">
        <f t="shared" ref="C138:AF138" si="17">+C139+C140+C141</f>
        <v>0</v>
      </c>
      <c r="D138" s="62">
        <f t="shared" si="17"/>
        <v>0</v>
      </c>
      <c r="E138" s="62">
        <f t="shared" si="17"/>
        <v>0</v>
      </c>
      <c r="F138" s="62">
        <f t="shared" si="17"/>
        <v>0</v>
      </c>
      <c r="G138" s="62">
        <f t="shared" si="17"/>
        <v>0</v>
      </c>
      <c r="H138" s="62">
        <f t="shared" si="17"/>
        <v>0</v>
      </c>
      <c r="I138" s="62">
        <f t="shared" si="17"/>
        <v>0</v>
      </c>
      <c r="J138" s="62">
        <f t="shared" si="17"/>
        <v>0</v>
      </c>
      <c r="K138" s="62">
        <f t="shared" si="17"/>
        <v>0</v>
      </c>
      <c r="L138" s="62">
        <f t="shared" si="17"/>
        <v>0</v>
      </c>
      <c r="M138" s="62">
        <f t="shared" si="17"/>
        <v>0</v>
      </c>
      <c r="N138" s="62">
        <f t="shared" si="17"/>
        <v>0</v>
      </c>
      <c r="O138" s="62">
        <f t="shared" si="17"/>
        <v>0</v>
      </c>
      <c r="P138" s="62">
        <f t="shared" si="17"/>
        <v>0</v>
      </c>
      <c r="Q138" s="62">
        <f t="shared" si="17"/>
        <v>0</v>
      </c>
      <c r="R138" s="62">
        <f t="shared" si="17"/>
        <v>0</v>
      </c>
      <c r="S138" s="62">
        <f t="shared" si="17"/>
        <v>0</v>
      </c>
      <c r="T138" s="62">
        <f t="shared" si="17"/>
        <v>0</v>
      </c>
      <c r="U138" s="62">
        <f t="shared" si="17"/>
        <v>0</v>
      </c>
      <c r="V138" s="62">
        <f t="shared" si="17"/>
        <v>0</v>
      </c>
      <c r="W138" s="62">
        <f t="shared" si="17"/>
        <v>0</v>
      </c>
      <c r="X138" s="62">
        <f t="shared" si="17"/>
        <v>0</v>
      </c>
      <c r="Y138" s="62">
        <f t="shared" si="17"/>
        <v>0</v>
      </c>
      <c r="Z138" s="62">
        <f t="shared" si="17"/>
        <v>0</v>
      </c>
      <c r="AA138" s="62">
        <f t="shared" si="17"/>
        <v>0</v>
      </c>
      <c r="AB138" s="62">
        <f t="shared" si="17"/>
        <v>0</v>
      </c>
      <c r="AC138" s="62">
        <f t="shared" si="17"/>
        <v>0</v>
      </c>
      <c r="AD138" s="62">
        <f t="shared" si="17"/>
        <v>0</v>
      </c>
      <c r="AE138" s="62">
        <f t="shared" si="17"/>
        <v>0</v>
      </c>
      <c r="AF138" s="62">
        <f t="shared" si="17"/>
        <v>0</v>
      </c>
      <c r="AG138" s="28">
        <f t="shared" si="16"/>
        <v>0</v>
      </c>
    </row>
    <row r="139" spans="1:33" ht="20.100000000000001" customHeight="1" x14ac:dyDescent="0.25">
      <c r="A139" s="29" t="s">
        <v>34</v>
      </c>
      <c r="B139" s="33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2">
        <f t="shared" si="16"/>
        <v>0</v>
      </c>
    </row>
    <row r="140" spans="1:33" ht="20.100000000000001" customHeight="1" x14ac:dyDescent="0.25">
      <c r="A140" s="29" t="s">
        <v>23</v>
      </c>
      <c r="B140" s="33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2">
        <f t="shared" si="16"/>
        <v>0</v>
      </c>
    </row>
    <row r="141" spans="1:33" ht="20.100000000000001" customHeight="1" x14ac:dyDescent="0.25">
      <c r="A141" s="29" t="s">
        <v>24</v>
      </c>
      <c r="B141" s="33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2">
        <f t="shared" si="16"/>
        <v>0</v>
      </c>
    </row>
    <row r="142" spans="1:33" ht="20.100000000000001" customHeight="1" x14ac:dyDescent="0.25">
      <c r="A142" s="52" t="s">
        <v>35</v>
      </c>
      <c r="B142" s="62">
        <f>+B143+B144+B145</f>
        <v>0</v>
      </c>
      <c r="C142" s="62">
        <f t="shared" ref="C142:AF142" si="18">+C143+C144+C145</f>
        <v>0</v>
      </c>
      <c r="D142" s="62">
        <f t="shared" si="18"/>
        <v>0</v>
      </c>
      <c r="E142" s="62">
        <f t="shared" si="18"/>
        <v>0</v>
      </c>
      <c r="F142" s="62">
        <f t="shared" si="18"/>
        <v>0</v>
      </c>
      <c r="G142" s="62">
        <f t="shared" si="18"/>
        <v>0</v>
      </c>
      <c r="H142" s="62">
        <f t="shared" si="18"/>
        <v>0</v>
      </c>
      <c r="I142" s="62">
        <f t="shared" si="18"/>
        <v>0</v>
      </c>
      <c r="J142" s="62">
        <f t="shared" si="18"/>
        <v>0</v>
      </c>
      <c r="K142" s="62">
        <f t="shared" si="18"/>
        <v>0</v>
      </c>
      <c r="L142" s="62">
        <f t="shared" si="18"/>
        <v>0</v>
      </c>
      <c r="M142" s="62">
        <f t="shared" si="18"/>
        <v>0</v>
      </c>
      <c r="N142" s="62">
        <f t="shared" si="18"/>
        <v>0</v>
      </c>
      <c r="O142" s="62">
        <f t="shared" si="18"/>
        <v>0</v>
      </c>
      <c r="P142" s="62">
        <f t="shared" si="18"/>
        <v>0</v>
      </c>
      <c r="Q142" s="62">
        <f t="shared" si="18"/>
        <v>0</v>
      </c>
      <c r="R142" s="62">
        <f t="shared" si="18"/>
        <v>0</v>
      </c>
      <c r="S142" s="62">
        <f t="shared" si="18"/>
        <v>0</v>
      </c>
      <c r="T142" s="62">
        <f t="shared" si="18"/>
        <v>0</v>
      </c>
      <c r="U142" s="62">
        <f t="shared" si="18"/>
        <v>0</v>
      </c>
      <c r="V142" s="62">
        <f t="shared" si="18"/>
        <v>0</v>
      </c>
      <c r="W142" s="62">
        <f t="shared" si="18"/>
        <v>0</v>
      </c>
      <c r="X142" s="62">
        <f t="shared" si="18"/>
        <v>0</v>
      </c>
      <c r="Y142" s="62">
        <f t="shared" si="18"/>
        <v>0</v>
      </c>
      <c r="Z142" s="62">
        <f t="shared" si="18"/>
        <v>0</v>
      </c>
      <c r="AA142" s="62">
        <f t="shared" si="18"/>
        <v>0</v>
      </c>
      <c r="AB142" s="62">
        <f t="shared" si="18"/>
        <v>0</v>
      </c>
      <c r="AC142" s="62">
        <f t="shared" si="18"/>
        <v>0</v>
      </c>
      <c r="AD142" s="62">
        <f t="shared" si="18"/>
        <v>0</v>
      </c>
      <c r="AE142" s="62">
        <f t="shared" si="18"/>
        <v>0</v>
      </c>
      <c r="AF142" s="62">
        <f t="shared" si="18"/>
        <v>0</v>
      </c>
      <c r="AG142" s="28">
        <f t="shared" si="16"/>
        <v>0</v>
      </c>
    </row>
    <row r="143" spans="1:33" ht="20.100000000000001" customHeight="1" x14ac:dyDescent="0.25">
      <c r="A143" s="41" t="s">
        <v>36</v>
      </c>
      <c r="B143" s="33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2">
        <f t="shared" si="16"/>
        <v>0</v>
      </c>
    </row>
    <row r="144" spans="1:33" ht="20.100000000000001" customHeight="1" x14ac:dyDescent="0.25">
      <c r="A144" s="41" t="s">
        <v>23</v>
      </c>
      <c r="B144" s="33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2">
        <f t="shared" si="16"/>
        <v>0</v>
      </c>
    </row>
    <row r="145" spans="1:33" ht="20.100000000000001" customHeight="1" x14ac:dyDescent="0.25">
      <c r="A145" s="29" t="s">
        <v>24</v>
      </c>
      <c r="B145" s="33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2">
        <f t="shared" si="16"/>
        <v>0</v>
      </c>
    </row>
    <row r="146" spans="1:33" ht="20.100000000000001" customHeight="1" thickBot="1" x14ac:dyDescent="0.3">
      <c r="A146" s="63" t="s">
        <v>37</v>
      </c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18">
        <f>+AG142+AG138+AG131+AG128+AG121+AG116</f>
        <v>0</v>
      </c>
    </row>
    <row r="147" spans="1:33" ht="20.100000000000001" customHeight="1" x14ac:dyDescent="0.25">
      <c r="A147" s="486" t="s">
        <v>121</v>
      </c>
      <c r="B147" s="69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1"/>
    </row>
    <row r="148" spans="1:33" ht="20.100000000000001" customHeight="1" thickBot="1" x14ac:dyDescent="0.3">
      <c r="A148" s="487"/>
      <c r="B148" s="72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4"/>
    </row>
    <row r="149" spans="1:33" ht="20.100000000000001" customHeight="1" thickBot="1" x14ac:dyDescent="0.3">
      <c r="A149" s="75" t="s">
        <v>39</v>
      </c>
      <c r="B149" s="24">
        <v>1</v>
      </c>
      <c r="C149" s="25">
        <v>2</v>
      </c>
      <c r="D149" s="25">
        <v>3</v>
      </c>
      <c r="E149" s="25">
        <v>4</v>
      </c>
      <c r="F149" s="25">
        <v>5</v>
      </c>
      <c r="G149" s="25">
        <v>6</v>
      </c>
      <c r="H149" s="25">
        <v>7</v>
      </c>
      <c r="I149" s="25">
        <v>8</v>
      </c>
      <c r="J149" s="25">
        <v>9</v>
      </c>
      <c r="K149" s="25">
        <v>10</v>
      </c>
      <c r="L149" s="25">
        <v>11</v>
      </c>
      <c r="M149" s="25">
        <v>12</v>
      </c>
      <c r="N149" s="25">
        <v>13</v>
      </c>
      <c r="O149" s="25">
        <v>14</v>
      </c>
      <c r="P149" s="25">
        <v>15</v>
      </c>
      <c r="Q149" s="25">
        <v>16</v>
      </c>
      <c r="R149" s="25">
        <v>17</v>
      </c>
      <c r="S149" s="25">
        <v>18</v>
      </c>
      <c r="T149" s="25">
        <v>19</v>
      </c>
      <c r="U149" s="25">
        <v>20</v>
      </c>
      <c r="V149" s="25">
        <v>21</v>
      </c>
      <c r="W149" s="25">
        <v>22</v>
      </c>
      <c r="X149" s="25">
        <v>23</v>
      </c>
      <c r="Y149" s="25">
        <v>24</v>
      </c>
      <c r="Z149" s="25">
        <v>25</v>
      </c>
      <c r="AA149" s="25">
        <v>26</v>
      </c>
      <c r="AB149" s="25">
        <v>27</v>
      </c>
      <c r="AC149" s="25">
        <v>28</v>
      </c>
      <c r="AD149" s="25">
        <v>29</v>
      </c>
      <c r="AE149" s="25">
        <v>30</v>
      </c>
      <c r="AF149" s="25">
        <v>31</v>
      </c>
      <c r="AG149" s="15" t="s">
        <v>131</v>
      </c>
    </row>
    <row r="150" spans="1:33" ht="20.100000000000001" customHeight="1" x14ac:dyDescent="0.25">
      <c r="A150" s="76" t="s">
        <v>40</v>
      </c>
      <c r="B150" s="33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2"/>
    </row>
    <row r="151" spans="1:33" ht="20.100000000000001" customHeight="1" x14ac:dyDescent="0.25">
      <c r="A151" s="76" t="s">
        <v>41</v>
      </c>
      <c r="B151" s="33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2"/>
    </row>
    <row r="152" spans="1:33" ht="20.100000000000001" customHeight="1" x14ac:dyDescent="0.25">
      <c r="A152" s="77" t="s">
        <v>42</v>
      </c>
      <c r="B152" s="62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9"/>
    </row>
    <row r="153" spans="1:33" ht="20.100000000000001" customHeight="1" x14ac:dyDescent="0.25">
      <c r="A153" s="76" t="s">
        <v>40</v>
      </c>
      <c r="B153" s="33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2"/>
    </row>
    <row r="154" spans="1:33" ht="20.100000000000001" customHeight="1" x14ac:dyDescent="0.25">
      <c r="A154" s="80" t="s">
        <v>43</v>
      </c>
      <c r="B154" s="33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2"/>
    </row>
    <row r="155" spans="1:33" ht="20.100000000000001" customHeight="1" x14ac:dyDescent="0.25">
      <c r="A155" s="81" t="s">
        <v>44</v>
      </c>
      <c r="B155" s="62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9"/>
    </row>
    <row r="156" spans="1:33" ht="20.100000000000001" customHeight="1" x14ac:dyDescent="0.25">
      <c r="A156" s="76" t="s">
        <v>40</v>
      </c>
      <c r="B156" s="33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2"/>
    </row>
    <row r="157" spans="1:33" ht="20.100000000000001" customHeight="1" x14ac:dyDescent="0.25">
      <c r="A157" s="82" t="s">
        <v>45</v>
      </c>
      <c r="B157" s="62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9"/>
    </row>
    <row r="158" spans="1:33" ht="20.100000000000001" customHeight="1" x14ac:dyDescent="0.25">
      <c r="A158" s="76" t="s">
        <v>40</v>
      </c>
      <c r="B158" s="33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2"/>
    </row>
    <row r="159" spans="1:33" ht="20.100000000000001" customHeight="1" x14ac:dyDescent="0.25">
      <c r="A159" s="76" t="s">
        <v>46</v>
      </c>
      <c r="B159" s="33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2"/>
    </row>
    <row r="160" spans="1:33" ht="20.100000000000001" customHeight="1" x14ac:dyDescent="0.25">
      <c r="A160" s="76" t="s">
        <v>47</v>
      </c>
      <c r="B160" s="33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2"/>
    </row>
    <row r="161" spans="1:33" ht="20.100000000000001" customHeight="1" x14ac:dyDescent="0.25">
      <c r="A161" s="83" t="s">
        <v>48</v>
      </c>
      <c r="B161" s="62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9"/>
    </row>
    <row r="162" spans="1:33" ht="20.100000000000001" customHeight="1" x14ac:dyDescent="0.25">
      <c r="A162" s="76" t="s">
        <v>40</v>
      </c>
      <c r="B162" s="33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2"/>
    </row>
    <row r="163" spans="1:33" ht="20.100000000000001" customHeight="1" x14ac:dyDescent="0.25">
      <c r="A163" s="82" t="s">
        <v>49</v>
      </c>
      <c r="B163" s="62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9"/>
    </row>
    <row r="164" spans="1:33" ht="20.100000000000001" customHeight="1" x14ac:dyDescent="0.25">
      <c r="A164" s="76" t="s">
        <v>40</v>
      </c>
      <c r="B164" s="33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2"/>
    </row>
    <row r="165" spans="1:33" ht="20.100000000000001" customHeight="1" x14ac:dyDescent="0.25">
      <c r="A165" s="81" t="s">
        <v>50</v>
      </c>
      <c r="B165" s="62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9"/>
    </row>
    <row r="166" spans="1:33" ht="20.100000000000001" customHeight="1" x14ac:dyDescent="0.25">
      <c r="A166" s="76" t="s">
        <v>40</v>
      </c>
      <c r="B166" s="33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2"/>
    </row>
    <row r="167" spans="1:33" ht="20.100000000000001" customHeight="1" x14ac:dyDescent="0.25">
      <c r="A167" s="83" t="s">
        <v>51</v>
      </c>
      <c r="B167" s="62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9"/>
    </row>
    <row r="168" spans="1:33" ht="20.100000000000001" customHeight="1" x14ac:dyDescent="0.25">
      <c r="A168" s="76" t="s">
        <v>40</v>
      </c>
      <c r="B168" s="33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2"/>
    </row>
    <row r="169" spans="1:33" ht="20.100000000000001" customHeight="1" x14ac:dyDescent="0.25">
      <c r="A169" s="83" t="s">
        <v>52</v>
      </c>
      <c r="B169" s="62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9"/>
    </row>
    <row r="170" spans="1:33" ht="20.100000000000001" customHeight="1" x14ac:dyDescent="0.25">
      <c r="A170" s="76" t="s">
        <v>40</v>
      </c>
      <c r="B170" s="33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2"/>
    </row>
    <row r="171" spans="1:33" ht="20.100000000000001" customHeight="1" x14ac:dyDescent="0.25">
      <c r="A171" s="83" t="s">
        <v>53</v>
      </c>
      <c r="B171" s="62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9"/>
    </row>
    <row r="172" spans="1:33" ht="20.100000000000001" customHeight="1" x14ac:dyDescent="0.25">
      <c r="A172" s="76" t="s">
        <v>54</v>
      </c>
      <c r="B172" s="33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2"/>
    </row>
    <row r="173" spans="1:33" ht="20.100000000000001" customHeight="1" thickBot="1" x14ac:dyDescent="0.3">
      <c r="A173" s="84" t="s">
        <v>55</v>
      </c>
      <c r="B173" s="85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7"/>
    </row>
    <row r="174" spans="1:33" ht="20.100000000000001" customHeight="1" x14ac:dyDescent="0.25">
      <c r="A174" s="488" t="s">
        <v>96</v>
      </c>
      <c r="B174" s="88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90"/>
    </row>
    <row r="175" spans="1:33" ht="20.100000000000001" customHeight="1" thickBot="1" x14ac:dyDescent="0.3">
      <c r="A175" s="489"/>
      <c r="B175" s="91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3"/>
    </row>
    <row r="176" spans="1:33" ht="20.100000000000001" customHeight="1" thickBot="1" x14ac:dyDescent="0.3">
      <c r="A176" s="94" t="s">
        <v>56</v>
      </c>
      <c r="B176" s="369">
        <v>1</v>
      </c>
      <c r="C176" s="370">
        <v>2</v>
      </c>
      <c r="D176" s="370">
        <v>3</v>
      </c>
      <c r="E176" s="370">
        <v>4</v>
      </c>
      <c r="F176" s="370">
        <v>5</v>
      </c>
      <c r="G176" s="370">
        <v>6</v>
      </c>
      <c r="H176" s="370">
        <v>7</v>
      </c>
      <c r="I176" s="370">
        <v>8</v>
      </c>
      <c r="J176" s="370">
        <v>9</v>
      </c>
      <c r="K176" s="370">
        <v>10</v>
      </c>
      <c r="L176" s="370">
        <v>11</v>
      </c>
      <c r="M176" s="370">
        <v>12</v>
      </c>
      <c r="N176" s="370">
        <v>13</v>
      </c>
      <c r="O176" s="370">
        <v>14</v>
      </c>
      <c r="P176" s="370">
        <v>15</v>
      </c>
      <c r="Q176" s="370">
        <v>16</v>
      </c>
      <c r="R176" s="370">
        <v>17</v>
      </c>
      <c r="S176" s="370">
        <v>18</v>
      </c>
      <c r="T176" s="370">
        <v>19</v>
      </c>
      <c r="U176" s="370">
        <v>20</v>
      </c>
      <c r="V176" s="370">
        <v>21</v>
      </c>
      <c r="W176" s="370">
        <v>22</v>
      </c>
      <c r="X176" s="370">
        <v>23</v>
      </c>
      <c r="Y176" s="370">
        <v>24</v>
      </c>
      <c r="Z176" s="370">
        <v>25</v>
      </c>
      <c r="AA176" s="370">
        <v>26</v>
      </c>
      <c r="AB176" s="370">
        <v>27</v>
      </c>
      <c r="AC176" s="370">
        <v>28</v>
      </c>
      <c r="AD176" s="370">
        <v>29</v>
      </c>
      <c r="AE176" s="370">
        <v>30</v>
      </c>
      <c r="AF176" s="370">
        <v>31</v>
      </c>
      <c r="AG176" s="371" t="s">
        <v>131</v>
      </c>
    </row>
    <row r="177" spans="1:33" ht="20.100000000000001" customHeight="1" x14ac:dyDescent="0.25">
      <c r="A177" s="76" t="s">
        <v>40</v>
      </c>
      <c r="B177" s="33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2"/>
    </row>
    <row r="178" spans="1:33" ht="20.100000000000001" customHeight="1" x14ac:dyDescent="0.25">
      <c r="A178" s="41" t="s">
        <v>57</v>
      </c>
      <c r="B178" s="33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2"/>
    </row>
    <row r="179" spans="1:33" ht="20.100000000000001" customHeight="1" x14ac:dyDescent="0.25">
      <c r="A179" s="82" t="s">
        <v>58</v>
      </c>
      <c r="B179" s="62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9"/>
    </row>
    <row r="180" spans="1:33" ht="20.100000000000001" customHeight="1" x14ac:dyDescent="0.25">
      <c r="A180" s="76" t="s">
        <v>59</v>
      </c>
      <c r="B180" s="33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2"/>
    </row>
    <row r="181" spans="1:33" ht="20.100000000000001" customHeight="1" x14ac:dyDescent="0.25">
      <c r="A181" s="76" t="s">
        <v>60</v>
      </c>
      <c r="B181" s="33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2"/>
    </row>
    <row r="182" spans="1:33" ht="20.100000000000001" customHeight="1" x14ac:dyDescent="0.25">
      <c r="A182" s="49" t="s">
        <v>61</v>
      </c>
      <c r="B182" s="62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9"/>
    </row>
    <row r="183" spans="1:33" ht="20.100000000000001" customHeight="1" x14ac:dyDescent="0.25">
      <c r="A183" s="76" t="s">
        <v>40</v>
      </c>
      <c r="B183" s="33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2"/>
    </row>
    <row r="184" spans="1:33" ht="20.100000000000001" customHeight="1" x14ac:dyDescent="0.25">
      <c r="A184" s="83" t="s">
        <v>62</v>
      </c>
      <c r="B184" s="62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9"/>
    </row>
    <row r="185" spans="1:33" ht="20.100000000000001" customHeight="1" x14ac:dyDescent="0.25">
      <c r="A185" s="95" t="s">
        <v>63</v>
      </c>
      <c r="B185" s="33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2"/>
    </row>
    <row r="186" spans="1:33" ht="20.100000000000001" customHeight="1" x14ac:dyDescent="0.25">
      <c r="A186" s="95" t="s">
        <v>64</v>
      </c>
      <c r="B186" s="33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2"/>
    </row>
    <row r="187" spans="1:33" ht="20.100000000000001" customHeight="1" x14ac:dyDescent="0.25">
      <c r="A187" s="83" t="s">
        <v>65</v>
      </c>
      <c r="B187" s="62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9"/>
    </row>
    <row r="188" spans="1:33" ht="20.100000000000001" customHeight="1" x14ac:dyDescent="0.25">
      <c r="A188" s="95" t="s">
        <v>63</v>
      </c>
      <c r="B188" s="33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2"/>
    </row>
    <row r="189" spans="1:33" ht="20.100000000000001" customHeight="1" x14ac:dyDescent="0.25">
      <c r="A189" s="95" t="s">
        <v>64</v>
      </c>
      <c r="B189" s="33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2"/>
    </row>
    <row r="190" spans="1:33" ht="20.100000000000001" customHeight="1" x14ac:dyDescent="0.25">
      <c r="A190" s="96" t="s">
        <v>66</v>
      </c>
      <c r="B190" s="62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9"/>
    </row>
    <row r="191" spans="1:33" ht="20.100000000000001" customHeight="1" x14ac:dyDescent="0.25">
      <c r="A191" s="41" t="s">
        <v>67</v>
      </c>
      <c r="B191" s="33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2"/>
    </row>
    <row r="192" spans="1:33" ht="20.100000000000001" customHeight="1" thickBot="1" x14ac:dyDescent="0.3">
      <c r="A192" s="41" t="s">
        <v>68</v>
      </c>
      <c r="B192" s="97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9"/>
    </row>
    <row r="193" spans="2:33" ht="20.100000000000001" customHeight="1" x14ac:dyDescent="0.25"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</row>
  </sheetData>
  <mergeCells count="10">
    <mergeCell ref="A147:A148"/>
    <mergeCell ref="A174:A175"/>
    <mergeCell ref="A10:A11"/>
    <mergeCell ref="A44:A45"/>
    <mergeCell ref="A1:AG1"/>
    <mergeCell ref="A2:AG2"/>
    <mergeCell ref="A3:AG3"/>
    <mergeCell ref="A4:AG4"/>
    <mergeCell ref="A79:A80"/>
    <mergeCell ref="A9:M9"/>
  </mergeCells>
  <pageMargins left="0.70866141732283472" right="0.70866141732283472" top="0.74803149606299213" bottom="0.74803149606299213" header="0.31496062992125984" footer="0.31496062992125984"/>
  <pageSetup paperSize="14" scale="76" fitToHeight="0" orientation="landscape" r:id="rId1"/>
  <ignoredErrors>
    <ignoredError sqref="AG131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zoomScale="84" zoomScaleNormal="84" workbookViewId="0">
      <selection activeCell="A5" sqref="A5"/>
    </sheetView>
  </sheetViews>
  <sheetFormatPr baseColWidth="10" defaultRowHeight="15" x14ac:dyDescent="0.25"/>
  <cols>
    <col min="1" max="1" width="50.42578125" customWidth="1"/>
    <col min="2" max="2" width="4.7109375" customWidth="1"/>
    <col min="3" max="3" width="4.85546875" customWidth="1"/>
    <col min="4" max="4" width="4.7109375" customWidth="1"/>
    <col min="5" max="5" width="5" customWidth="1"/>
    <col min="6" max="6" width="4.7109375" customWidth="1"/>
    <col min="7" max="7" width="4.85546875" customWidth="1"/>
    <col min="8" max="8" width="5.140625" customWidth="1"/>
    <col min="9" max="9" width="5" customWidth="1"/>
    <col min="10" max="10" width="4.5703125" customWidth="1"/>
    <col min="11" max="11" width="4.7109375" customWidth="1"/>
    <col min="12" max="12" width="4.42578125" customWidth="1"/>
    <col min="13" max="13" width="5.28515625" customWidth="1"/>
    <col min="14" max="14" width="4.28515625" customWidth="1"/>
    <col min="15" max="15" width="4.5703125" customWidth="1"/>
    <col min="16" max="16" width="4.7109375" customWidth="1"/>
    <col min="17" max="17" width="4.5703125" customWidth="1"/>
    <col min="18" max="18" width="4.7109375" customWidth="1"/>
    <col min="19" max="19" width="4.28515625" customWidth="1"/>
    <col min="20" max="20" width="4.5703125" customWidth="1"/>
    <col min="21" max="21" width="5" customWidth="1"/>
    <col min="22" max="22" width="4.42578125" customWidth="1"/>
    <col min="23" max="23" width="4.85546875" customWidth="1"/>
    <col min="24" max="24" width="4.42578125" customWidth="1"/>
    <col min="25" max="26" width="4.28515625" customWidth="1"/>
    <col min="27" max="27" width="5.28515625" customWidth="1"/>
    <col min="28" max="28" width="4.5703125" customWidth="1"/>
    <col min="29" max="29" width="4.85546875" customWidth="1"/>
    <col min="30" max="30" width="4.7109375" customWidth="1"/>
    <col min="31" max="31" width="4.85546875" customWidth="1"/>
    <col min="32" max="32" width="4.7109375" customWidth="1"/>
  </cols>
  <sheetData>
    <row r="1" spans="1:34" ht="26.25" x14ac:dyDescent="0.4">
      <c r="A1" s="10"/>
      <c r="B1" s="201" t="s">
        <v>86</v>
      </c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10"/>
      <c r="AA1" s="10"/>
      <c r="AB1" s="10"/>
      <c r="AC1" s="10"/>
      <c r="AD1" s="10"/>
      <c r="AE1" s="10"/>
      <c r="AF1" s="10"/>
      <c r="AG1" s="10"/>
    </row>
    <row r="2" spans="1:34" x14ac:dyDescent="0.25">
      <c r="A2" s="10"/>
      <c r="B2" s="505" t="s">
        <v>87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10"/>
      <c r="AA2" s="10"/>
      <c r="AB2" s="10"/>
      <c r="AC2" s="10"/>
      <c r="AD2" s="10"/>
      <c r="AE2" s="10"/>
      <c r="AF2" s="10"/>
      <c r="AG2" s="10"/>
    </row>
    <row r="3" spans="1:34" x14ac:dyDescent="0.25">
      <c r="A3" s="10"/>
      <c r="B3" s="505" t="s">
        <v>88</v>
      </c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10"/>
      <c r="AA3" s="10"/>
      <c r="AB3" s="10"/>
      <c r="AC3" s="10"/>
      <c r="AD3" s="10"/>
      <c r="AE3" s="10"/>
      <c r="AF3" s="10"/>
      <c r="AG3" s="10"/>
    </row>
    <row r="4" spans="1:3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4" ht="15.75" x14ac:dyDescent="0.25">
      <c r="A5" s="6" t="s">
        <v>646</v>
      </c>
    </row>
    <row r="6" spans="1:34" ht="15.75" x14ac:dyDescent="0.25">
      <c r="A6" s="6" t="s">
        <v>654</v>
      </c>
      <c r="B6" s="103"/>
      <c r="C6" s="103"/>
      <c r="D6" s="102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 spans="1:3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</row>
    <row r="8" spans="1:34" ht="21" thickBot="1" x14ac:dyDescent="0.3">
      <c r="A8" s="509" t="s">
        <v>643</v>
      </c>
      <c r="B8" s="510"/>
      <c r="C8" s="510"/>
      <c r="D8" s="510"/>
      <c r="E8" s="510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</row>
    <row r="9" spans="1:34" ht="15" customHeight="1" thickBot="1" x14ac:dyDescent="0.3">
      <c r="A9" s="506" t="s">
        <v>118</v>
      </c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  <c r="Z9" s="507"/>
      <c r="AA9" s="507"/>
      <c r="AB9" s="507"/>
      <c r="AC9" s="507"/>
      <c r="AD9" s="507"/>
      <c r="AE9" s="507"/>
      <c r="AF9" s="507"/>
      <c r="AG9" s="508"/>
    </row>
    <row r="10" spans="1:34" ht="20.25" customHeight="1" thickBot="1" x14ac:dyDescent="0.3">
      <c r="A10" s="14" t="s">
        <v>122</v>
      </c>
      <c r="B10" s="104">
        <v>1</v>
      </c>
      <c r="C10" s="105">
        <v>2</v>
      </c>
      <c r="D10" s="105">
        <v>3</v>
      </c>
      <c r="E10" s="105">
        <v>4</v>
      </c>
      <c r="F10" s="105">
        <v>5</v>
      </c>
      <c r="G10" s="105">
        <v>6</v>
      </c>
      <c r="H10" s="105">
        <v>7</v>
      </c>
      <c r="I10" s="105">
        <v>8</v>
      </c>
      <c r="J10" s="105">
        <v>9</v>
      </c>
      <c r="K10" s="105">
        <v>10</v>
      </c>
      <c r="L10" s="105">
        <v>11</v>
      </c>
      <c r="M10" s="105">
        <v>12</v>
      </c>
      <c r="N10" s="105">
        <v>13</v>
      </c>
      <c r="O10" s="105">
        <v>14</v>
      </c>
      <c r="P10" s="105">
        <v>15</v>
      </c>
      <c r="Q10" s="105">
        <v>16</v>
      </c>
      <c r="R10" s="105">
        <v>17</v>
      </c>
      <c r="S10" s="105">
        <v>18</v>
      </c>
      <c r="T10" s="105">
        <v>19</v>
      </c>
      <c r="U10" s="105">
        <v>20</v>
      </c>
      <c r="V10" s="105">
        <v>21</v>
      </c>
      <c r="W10" s="105">
        <v>22</v>
      </c>
      <c r="X10" s="105">
        <v>23</v>
      </c>
      <c r="Y10" s="105">
        <v>24</v>
      </c>
      <c r="Z10" s="105">
        <v>25</v>
      </c>
      <c r="AA10" s="105">
        <v>26</v>
      </c>
      <c r="AB10" s="105">
        <v>27</v>
      </c>
      <c r="AC10" s="105">
        <v>28</v>
      </c>
      <c r="AD10" s="105">
        <v>29</v>
      </c>
      <c r="AE10" s="105">
        <v>30</v>
      </c>
      <c r="AF10" s="105">
        <v>31</v>
      </c>
      <c r="AG10" s="106" t="s">
        <v>20</v>
      </c>
    </row>
    <row r="11" spans="1:34" ht="15.75" customHeight="1" x14ac:dyDescent="0.25">
      <c r="A11" s="197" t="s">
        <v>69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8"/>
    </row>
    <row r="12" spans="1:34" ht="15.75" customHeight="1" x14ac:dyDescent="0.25">
      <c r="A12" s="198" t="s">
        <v>70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8"/>
    </row>
    <row r="13" spans="1:34" ht="15.75" customHeight="1" x14ac:dyDescent="0.25">
      <c r="A13" s="198" t="s">
        <v>71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08"/>
      <c r="AH13" s="375"/>
    </row>
    <row r="14" spans="1:34" ht="15.75" customHeight="1" x14ac:dyDescent="0.25">
      <c r="A14" s="198" t="s">
        <v>72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08"/>
    </row>
    <row r="15" spans="1:34" ht="15.75" customHeight="1" x14ac:dyDescent="0.25">
      <c r="A15" s="198" t="s">
        <v>73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08"/>
    </row>
    <row r="16" spans="1:34" ht="15.75" customHeight="1" x14ac:dyDescent="0.25">
      <c r="A16" s="198" t="s">
        <v>74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08"/>
    </row>
    <row r="17" spans="1:36" ht="15.75" customHeight="1" x14ac:dyDescent="0.25">
      <c r="A17" s="199" t="s">
        <v>75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08"/>
    </row>
    <row r="18" spans="1:36" ht="15.75" customHeight="1" x14ac:dyDescent="0.25">
      <c r="A18" s="199" t="s">
        <v>76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08"/>
    </row>
    <row r="19" spans="1:36" ht="15.75" customHeight="1" x14ac:dyDescent="0.25">
      <c r="A19" s="199" t="s">
        <v>77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08"/>
    </row>
    <row r="20" spans="1:36" ht="15.75" customHeight="1" thickBot="1" x14ac:dyDescent="0.3">
      <c r="A20" s="200" t="s">
        <v>78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08"/>
    </row>
    <row r="21" spans="1:36" ht="25.5" customHeight="1" thickBot="1" x14ac:dyDescent="0.3">
      <c r="A21" s="101" t="s">
        <v>116</v>
      </c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4"/>
    </row>
    <row r="22" spans="1:36" ht="15.75" customHeight="1" x14ac:dyDescent="0.25">
      <c r="A22" s="191" t="s">
        <v>79</v>
      </c>
      <c r="B22" s="115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08"/>
      <c r="AJ22" t="s">
        <v>629</v>
      </c>
    </row>
    <row r="23" spans="1:36" ht="15.75" customHeight="1" x14ac:dyDescent="0.25">
      <c r="A23" s="192" t="s">
        <v>252</v>
      </c>
      <c r="B23" s="117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08"/>
    </row>
    <row r="24" spans="1:36" ht="15.75" customHeight="1" x14ac:dyDescent="0.25">
      <c r="A24" s="191" t="s">
        <v>630</v>
      </c>
      <c r="B24" s="117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08"/>
    </row>
    <row r="25" spans="1:36" ht="15.75" customHeight="1" x14ac:dyDescent="0.25">
      <c r="A25" s="193" t="s">
        <v>253</v>
      </c>
      <c r="B25" s="117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08"/>
    </row>
    <row r="26" spans="1:36" ht="15.75" customHeight="1" x14ac:dyDescent="0.25">
      <c r="A26" s="191" t="s">
        <v>254</v>
      </c>
      <c r="B26" s="117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08"/>
    </row>
    <row r="27" spans="1:36" ht="15.75" customHeight="1" x14ac:dyDescent="0.25">
      <c r="A27" s="191" t="s">
        <v>255</v>
      </c>
      <c r="B27" s="117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08"/>
    </row>
    <row r="28" spans="1:36" ht="15.75" customHeight="1" x14ac:dyDescent="0.25">
      <c r="A28" s="191" t="s">
        <v>81</v>
      </c>
      <c r="B28" s="117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08"/>
    </row>
    <row r="29" spans="1:36" ht="15.75" customHeight="1" x14ac:dyDescent="0.25">
      <c r="A29" s="191" t="s">
        <v>256</v>
      </c>
      <c r="B29" s="117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08"/>
    </row>
    <row r="30" spans="1:36" ht="15.75" customHeight="1" x14ac:dyDescent="0.25">
      <c r="A30" s="191" t="s">
        <v>82</v>
      </c>
      <c r="B30" s="117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08"/>
    </row>
    <row r="31" spans="1:36" ht="15.75" customHeight="1" x14ac:dyDescent="0.25">
      <c r="A31" s="191" t="s">
        <v>257</v>
      </c>
      <c r="B31" s="117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08"/>
    </row>
    <row r="32" spans="1:36" ht="15.75" customHeight="1" x14ac:dyDescent="0.25">
      <c r="A32" s="191" t="s">
        <v>631</v>
      </c>
      <c r="B32" s="117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08">
        <f>SUM(R32:AF32)</f>
        <v>0</v>
      </c>
    </row>
    <row r="33" spans="1:33" ht="15.75" customHeight="1" x14ac:dyDescent="0.25">
      <c r="A33" s="191" t="s">
        <v>259</v>
      </c>
      <c r="B33" s="117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08"/>
    </row>
    <row r="34" spans="1:33" ht="15.75" customHeight="1" x14ac:dyDescent="0.25">
      <c r="A34" s="191" t="s">
        <v>260</v>
      </c>
      <c r="B34" s="117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08"/>
    </row>
    <row r="35" spans="1:33" ht="15.75" customHeight="1" x14ac:dyDescent="0.25">
      <c r="A35" s="191" t="s">
        <v>261</v>
      </c>
      <c r="B35" s="117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08"/>
    </row>
    <row r="36" spans="1:33" ht="15.75" customHeight="1" x14ac:dyDescent="0.25">
      <c r="A36" s="191" t="s">
        <v>262</v>
      </c>
      <c r="B36" s="117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08"/>
    </row>
    <row r="37" spans="1:33" ht="15.75" customHeight="1" x14ac:dyDescent="0.25">
      <c r="A37" s="191" t="s">
        <v>263</v>
      </c>
      <c r="B37" s="117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08"/>
    </row>
    <row r="38" spans="1:33" ht="15.75" customHeight="1" x14ac:dyDescent="0.25">
      <c r="A38" s="191" t="s">
        <v>264</v>
      </c>
      <c r="B38" s="117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08">
        <f>SUM(R38:AF38)</f>
        <v>0</v>
      </c>
    </row>
    <row r="39" spans="1:33" ht="15.75" customHeight="1" x14ac:dyDescent="0.25">
      <c r="A39" s="191" t="s">
        <v>265</v>
      </c>
      <c r="B39" s="117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08"/>
    </row>
    <row r="40" spans="1:33" ht="15.75" customHeight="1" x14ac:dyDescent="0.25">
      <c r="A40" s="191" t="s">
        <v>266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09"/>
    </row>
    <row r="41" spans="1:33" ht="15.75" customHeight="1" x14ac:dyDescent="0.25">
      <c r="A41" s="191" t="s">
        <v>267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09"/>
    </row>
    <row r="42" spans="1:33" ht="15.75" customHeight="1" x14ac:dyDescent="0.25">
      <c r="A42" s="191" t="s">
        <v>268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09"/>
    </row>
    <row r="43" spans="1:33" ht="15.75" customHeight="1" x14ac:dyDescent="0.25">
      <c r="A43" s="191" t="s">
        <v>269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09"/>
    </row>
    <row r="44" spans="1:33" ht="15.75" customHeight="1" x14ac:dyDescent="0.25">
      <c r="A44" s="192" t="s">
        <v>273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09"/>
    </row>
    <row r="45" spans="1:33" ht="15.75" customHeight="1" x14ac:dyDescent="0.25">
      <c r="A45" s="194" t="s">
        <v>274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09"/>
    </row>
    <row r="46" spans="1:33" ht="15.75" customHeight="1" x14ac:dyDescent="0.25">
      <c r="A46" s="194" t="s">
        <v>275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09">
        <f t="shared" ref="AG46:AG51" si="0">SUM(B46:AF46)</f>
        <v>0</v>
      </c>
    </row>
    <row r="47" spans="1:33" ht="15.75" customHeight="1" x14ac:dyDescent="0.25">
      <c r="A47" s="194" t="s">
        <v>276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09">
        <f t="shared" si="0"/>
        <v>0</v>
      </c>
    </row>
    <row r="48" spans="1:33" ht="15.75" customHeight="1" x14ac:dyDescent="0.25">
      <c r="A48" s="194" t="s">
        <v>277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09">
        <f t="shared" si="0"/>
        <v>0</v>
      </c>
    </row>
    <row r="49" spans="1:33" ht="15.75" customHeight="1" x14ac:dyDescent="0.25">
      <c r="A49" s="195" t="s">
        <v>278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09">
        <f t="shared" si="0"/>
        <v>0</v>
      </c>
    </row>
    <row r="50" spans="1:33" ht="15.75" customHeight="1" x14ac:dyDescent="0.25">
      <c r="A50" s="194" t="s">
        <v>279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09">
        <f t="shared" si="0"/>
        <v>0</v>
      </c>
    </row>
    <row r="51" spans="1:33" ht="15.75" customHeight="1" x14ac:dyDescent="0.25">
      <c r="A51" s="194" t="s">
        <v>280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09">
        <f t="shared" si="0"/>
        <v>0</v>
      </c>
    </row>
    <row r="52" spans="1:33" ht="15.75" customHeight="1" x14ac:dyDescent="0.25">
      <c r="A52" s="196" t="s">
        <v>281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09"/>
    </row>
    <row r="53" spans="1:33" ht="18" x14ac:dyDescent="0.25">
      <c r="A53" s="190" t="s">
        <v>273</v>
      </c>
      <c r="B53" s="202"/>
      <c r="C53" s="202"/>
      <c r="D53" s="202"/>
      <c r="E53" s="202">
        <f>SUM(S56)</f>
        <v>0</v>
      </c>
      <c r="F53" s="202">
        <f>SUM(F22:F52)</f>
        <v>0</v>
      </c>
      <c r="G53" s="202"/>
      <c r="H53" s="202"/>
      <c r="I53" s="202">
        <f>SUM(I22:I52)</f>
        <v>0</v>
      </c>
      <c r="J53" s="202">
        <f>SUM(J22:J52)</f>
        <v>0</v>
      </c>
      <c r="K53" s="202"/>
      <c r="L53" s="202"/>
      <c r="M53" s="202"/>
      <c r="N53" s="202">
        <f>SUM(N22:N52)</f>
        <v>0</v>
      </c>
      <c r="O53" s="202">
        <f>SUM(O22:O52)</f>
        <v>0</v>
      </c>
      <c r="P53" s="202"/>
      <c r="Q53" s="202">
        <f>SUM(Q22:Q52)</f>
        <v>0</v>
      </c>
      <c r="R53" s="202"/>
      <c r="S53" s="202"/>
      <c r="T53" s="202"/>
      <c r="U53" s="202"/>
      <c r="V53" s="202"/>
      <c r="W53" s="202">
        <f>SUM(W22:W52)</f>
        <v>0</v>
      </c>
      <c r="X53" s="202">
        <f>SUM(X22:X52)</f>
        <v>0</v>
      </c>
      <c r="Y53" s="202"/>
      <c r="Z53" s="202"/>
      <c r="AA53" s="202">
        <f>SUM(AA22:AA52)</f>
        <v>0</v>
      </c>
      <c r="AB53" s="202">
        <f>SUM(AB22:AB52)</f>
        <v>0</v>
      </c>
      <c r="AC53" s="202"/>
      <c r="AD53" s="202"/>
      <c r="AE53" s="202"/>
      <c r="AF53" s="202">
        <f>SUM(AF23:AF52)</f>
        <v>0</v>
      </c>
      <c r="AG53" s="203">
        <f>SUM(AG23:AG52)</f>
        <v>0</v>
      </c>
    </row>
    <row r="54" spans="1:33" x14ac:dyDescent="0.25">
      <c r="AG54" s="362"/>
    </row>
  </sheetData>
  <mergeCells count="4">
    <mergeCell ref="B2:Y2"/>
    <mergeCell ref="B3:Y3"/>
    <mergeCell ref="A9:AG9"/>
    <mergeCell ref="A8:AG8"/>
  </mergeCells>
  <pageMargins left="0.7" right="0.7" top="0.33" bottom="0.33" header="0.24" footer="0.2"/>
  <pageSetup paperSize="14" scale="6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topLeftCell="A91" workbookViewId="0">
      <selection activeCell="A8" sqref="A8"/>
    </sheetView>
  </sheetViews>
  <sheetFormatPr baseColWidth="10" defaultRowHeight="15" x14ac:dyDescent="0.25"/>
  <cols>
    <col min="1" max="1" width="44.28515625" customWidth="1"/>
    <col min="2" max="2" width="4.7109375" customWidth="1"/>
    <col min="3" max="3" width="4.85546875" customWidth="1"/>
    <col min="4" max="4" width="4" customWidth="1"/>
    <col min="5" max="5" width="5" customWidth="1"/>
    <col min="6" max="6" width="4" customWidth="1"/>
    <col min="7" max="7" width="4.140625" customWidth="1"/>
    <col min="8" max="8" width="3.5703125" customWidth="1"/>
    <col min="9" max="9" width="4.140625" customWidth="1"/>
    <col min="10" max="10" width="3.7109375" customWidth="1"/>
    <col min="11" max="11" width="4.7109375" customWidth="1"/>
    <col min="12" max="12" width="4.42578125" customWidth="1"/>
    <col min="13" max="13" width="3.7109375" customWidth="1"/>
    <col min="14" max="14" width="4.28515625" customWidth="1"/>
    <col min="15" max="15" width="4.5703125" customWidth="1"/>
    <col min="16" max="16" width="4.7109375" customWidth="1"/>
    <col min="17" max="17" width="4.5703125" customWidth="1"/>
    <col min="18" max="18" width="4.7109375" customWidth="1"/>
    <col min="19" max="19" width="4.28515625" customWidth="1"/>
    <col min="20" max="20" width="4.5703125" customWidth="1"/>
    <col min="21" max="21" width="4.140625" customWidth="1"/>
    <col min="22" max="22" width="4.42578125" customWidth="1"/>
    <col min="23" max="23" width="4" customWidth="1"/>
    <col min="24" max="24" width="4.140625" customWidth="1"/>
    <col min="25" max="26" width="4.28515625" customWidth="1"/>
    <col min="27" max="27" width="5.28515625" customWidth="1"/>
    <col min="28" max="28" width="4.5703125" customWidth="1"/>
    <col min="29" max="29" width="4.140625" customWidth="1"/>
    <col min="30" max="30" width="3.85546875" customWidth="1"/>
    <col min="31" max="31" width="4.85546875" customWidth="1"/>
    <col min="32" max="32" width="4.7109375" customWidth="1"/>
    <col min="33" max="33" width="9.42578125" customWidth="1"/>
  </cols>
  <sheetData>
    <row r="1" spans="1:33" ht="26.25" x14ac:dyDescent="0.4">
      <c r="A1" s="188"/>
      <c r="B1" s="519" t="s">
        <v>86</v>
      </c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188"/>
      <c r="AA1" s="188"/>
      <c r="AB1" s="188"/>
      <c r="AC1" s="188"/>
      <c r="AD1" s="188"/>
      <c r="AE1" s="188"/>
      <c r="AF1" s="188"/>
      <c r="AG1" s="188"/>
    </row>
    <row r="2" spans="1:33" x14ac:dyDescent="0.25">
      <c r="A2" s="188"/>
      <c r="B2" s="520" t="s">
        <v>87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188"/>
      <c r="AA2" s="188"/>
      <c r="AB2" s="188"/>
      <c r="AC2" s="188"/>
      <c r="AD2" s="188"/>
      <c r="AE2" s="188"/>
      <c r="AF2" s="188"/>
      <c r="AG2" s="188"/>
    </row>
    <row r="3" spans="1:33" x14ac:dyDescent="0.25">
      <c r="A3" s="188"/>
      <c r="B3" s="520" t="s">
        <v>88</v>
      </c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188"/>
      <c r="AA3" s="188"/>
      <c r="AB3" s="188"/>
      <c r="AC3" s="188"/>
      <c r="AD3" s="188"/>
      <c r="AE3" s="188"/>
      <c r="AF3" s="188"/>
      <c r="AG3" s="188"/>
    </row>
    <row r="4" spans="1:33" x14ac:dyDescent="0.25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</row>
    <row r="5" spans="1:33" ht="15.75" x14ac:dyDescent="0.25">
      <c r="A5" s="6" t="s">
        <v>619</v>
      </c>
    </row>
    <row r="6" spans="1:33" ht="15.75" x14ac:dyDescent="0.25">
      <c r="A6" s="6" t="s">
        <v>621</v>
      </c>
      <c r="B6" s="103"/>
      <c r="C6" s="103"/>
      <c r="D6" s="102"/>
      <c r="E6" s="103"/>
      <c r="F6" s="103"/>
      <c r="G6" s="103"/>
    </row>
    <row r="7" spans="1:33" ht="11.25" customHeight="1" x14ac:dyDescent="0.25">
      <c r="A7" s="103"/>
      <c r="B7" s="103"/>
      <c r="C7" s="103"/>
      <c r="D7" s="103"/>
      <c r="E7" s="103"/>
      <c r="F7" s="103"/>
      <c r="G7" s="103"/>
    </row>
    <row r="8" spans="1:33" ht="18" x14ac:dyDescent="0.25">
      <c r="A8" s="20" t="s">
        <v>628</v>
      </c>
      <c r="B8" s="4"/>
      <c r="C8" s="4"/>
      <c r="D8" s="4"/>
      <c r="E8" s="103"/>
      <c r="F8" s="103"/>
      <c r="G8" s="103"/>
    </row>
    <row r="9" spans="1:33" ht="15.75" x14ac:dyDescent="0.25">
      <c r="A9" s="511" t="s">
        <v>156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30"/>
    </row>
    <row r="10" spans="1:33" ht="15.75" x14ac:dyDescent="0.25">
      <c r="A10" s="512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2"/>
    </row>
    <row r="11" spans="1:33" x14ac:dyDescent="0.25">
      <c r="A11" s="133" t="s">
        <v>157</v>
      </c>
      <c r="B11" s="134">
        <v>1</v>
      </c>
      <c r="C11" s="135">
        <v>2</v>
      </c>
      <c r="D11" s="135">
        <v>3</v>
      </c>
      <c r="E11" s="136">
        <v>4</v>
      </c>
      <c r="F11" s="137">
        <v>5</v>
      </c>
      <c r="G11" s="138">
        <v>6</v>
      </c>
      <c r="H11" s="138">
        <v>7</v>
      </c>
      <c r="I11" s="138">
        <v>8</v>
      </c>
      <c r="J11" s="138">
        <v>9</v>
      </c>
      <c r="K11" s="138">
        <v>10</v>
      </c>
      <c r="L11" s="138">
        <v>11</v>
      </c>
      <c r="M11" s="138">
        <v>12</v>
      </c>
      <c r="N11" s="138">
        <v>13</v>
      </c>
      <c r="O11" s="138">
        <v>14</v>
      </c>
      <c r="P11" s="138">
        <v>15</v>
      </c>
      <c r="Q11" s="138">
        <v>16</v>
      </c>
      <c r="R11" s="138">
        <v>17</v>
      </c>
      <c r="S11" s="138">
        <v>18</v>
      </c>
      <c r="T11" s="138">
        <v>19</v>
      </c>
      <c r="U11" s="138">
        <v>20</v>
      </c>
      <c r="V11" s="138">
        <v>21</v>
      </c>
      <c r="W11" s="138">
        <v>22</v>
      </c>
      <c r="X11" s="138">
        <v>23</v>
      </c>
      <c r="Y11" s="138">
        <v>24</v>
      </c>
      <c r="Z11" s="138">
        <v>25</v>
      </c>
      <c r="AA11" s="138">
        <v>26</v>
      </c>
      <c r="AB11" s="138">
        <v>27</v>
      </c>
      <c r="AC11" s="138">
        <v>28</v>
      </c>
      <c r="AD11" s="138">
        <v>29</v>
      </c>
      <c r="AE11" s="138">
        <v>30</v>
      </c>
      <c r="AF11" s="138">
        <v>31</v>
      </c>
      <c r="AG11" s="139" t="s">
        <v>131</v>
      </c>
    </row>
    <row r="12" spans="1:33" x14ac:dyDescent="0.25">
      <c r="A12" s="140" t="s">
        <v>158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2">
        <f t="shared" ref="AG12:AG17" si="0">SUM(B12:AF12)</f>
        <v>0</v>
      </c>
    </row>
    <row r="13" spans="1:33" x14ac:dyDescent="0.25">
      <c r="A13" s="143" t="s">
        <v>159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2">
        <f t="shared" si="0"/>
        <v>0</v>
      </c>
    </row>
    <row r="14" spans="1:33" x14ac:dyDescent="0.25">
      <c r="A14" s="143" t="s">
        <v>160</v>
      </c>
      <c r="B14" s="143"/>
      <c r="C14" s="143"/>
      <c r="D14" s="143"/>
      <c r="E14" s="143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2">
        <f t="shared" si="0"/>
        <v>0</v>
      </c>
    </row>
    <row r="15" spans="1:33" x14ac:dyDescent="0.25">
      <c r="A15" s="143" t="s">
        <v>161</v>
      </c>
      <c r="B15" s="143"/>
      <c r="C15" s="143"/>
      <c r="D15" s="143"/>
      <c r="E15" s="143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2">
        <f t="shared" si="0"/>
        <v>0</v>
      </c>
    </row>
    <row r="16" spans="1:33" x14ac:dyDescent="0.25">
      <c r="A16" s="143" t="s">
        <v>162</v>
      </c>
      <c r="B16" s="143"/>
      <c r="C16" s="143"/>
      <c r="D16" s="143"/>
      <c r="E16" s="143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2">
        <f t="shared" si="0"/>
        <v>0</v>
      </c>
    </row>
    <row r="17" spans="1:33" x14ac:dyDescent="0.25">
      <c r="A17" s="143" t="s">
        <v>163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2">
        <f t="shared" si="0"/>
        <v>0</v>
      </c>
    </row>
    <row r="18" spans="1:33" x14ac:dyDescent="0.25">
      <c r="A18" s="143" t="s">
        <v>164</v>
      </c>
      <c r="B18" s="143"/>
      <c r="C18" s="143"/>
      <c r="D18" s="143"/>
      <c r="E18" s="143"/>
      <c r="F18" s="146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2">
        <f>SUM(B18:AF18)</f>
        <v>0</v>
      </c>
    </row>
    <row r="19" spans="1:33" x14ac:dyDescent="0.25">
      <c r="A19" s="143" t="s">
        <v>165</v>
      </c>
      <c r="B19" s="143"/>
      <c r="C19" s="143"/>
      <c r="D19" s="143"/>
      <c r="E19" s="17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2">
        <f>SUM(B19:AF19)</f>
        <v>0</v>
      </c>
    </row>
    <row r="20" spans="1:33" x14ac:dyDescent="0.25">
      <c r="A20" s="147" t="s">
        <v>251</v>
      </c>
      <c r="B20" s="143"/>
      <c r="C20" s="143"/>
      <c r="D20" s="143"/>
      <c r="E20" s="143"/>
      <c r="F20" s="146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2">
        <f>SUM(B20:AF20)</f>
        <v>0</v>
      </c>
    </row>
    <row r="21" spans="1:33" x14ac:dyDescent="0.25">
      <c r="A21" s="148" t="s">
        <v>166</v>
      </c>
      <c r="B21" s="148"/>
      <c r="C21" s="148"/>
      <c r="D21" s="148"/>
      <c r="E21" s="148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50">
        <f>SUM(B21:AF21)</f>
        <v>0</v>
      </c>
    </row>
    <row r="22" spans="1:33" x14ac:dyDescent="0.25">
      <c r="A22" s="151" t="s">
        <v>167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3"/>
    </row>
    <row r="23" spans="1:33" x14ac:dyDescent="0.25">
      <c r="A23" s="154" t="s">
        <v>168</v>
      </c>
      <c r="B23" s="155"/>
      <c r="C23" s="155"/>
      <c r="D23" s="155"/>
      <c r="E23" s="15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4">
        <f t="shared" ref="AG23:AG32" si="1">SUM(B23:AF23)</f>
        <v>0</v>
      </c>
    </row>
    <row r="24" spans="1:33" x14ac:dyDescent="0.25">
      <c r="A24" s="143" t="s">
        <v>169</v>
      </c>
      <c r="B24" s="143"/>
      <c r="C24" s="143"/>
      <c r="D24" s="143"/>
      <c r="E24" s="143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4">
        <f t="shared" si="1"/>
        <v>0</v>
      </c>
    </row>
    <row r="25" spans="1:33" x14ac:dyDescent="0.25">
      <c r="A25" s="140" t="s">
        <v>170</v>
      </c>
      <c r="B25" s="140"/>
      <c r="C25" s="140"/>
      <c r="D25" s="140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4">
        <f t="shared" si="1"/>
        <v>0</v>
      </c>
    </row>
    <row r="26" spans="1:33" x14ac:dyDescent="0.25">
      <c r="A26" s="143" t="s">
        <v>171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4">
        <f t="shared" si="1"/>
        <v>0</v>
      </c>
    </row>
    <row r="27" spans="1:33" x14ac:dyDescent="0.25">
      <c r="A27" s="147" t="s">
        <v>172</v>
      </c>
      <c r="B27" s="147"/>
      <c r="C27" s="147"/>
      <c r="D27" s="147"/>
      <c r="E27" s="147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4">
        <f t="shared" si="1"/>
        <v>0</v>
      </c>
    </row>
    <row r="28" spans="1:33" x14ac:dyDescent="0.25">
      <c r="A28" s="143" t="s">
        <v>173</v>
      </c>
      <c r="B28" s="143"/>
      <c r="C28" s="143"/>
      <c r="D28" s="143"/>
      <c r="E28" s="143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4">
        <f t="shared" si="1"/>
        <v>0</v>
      </c>
    </row>
    <row r="29" spans="1:33" x14ac:dyDescent="0.25">
      <c r="A29" s="143" t="s">
        <v>174</v>
      </c>
      <c r="B29" s="143"/>
      <c r="C29" s="143"/>
      <c r="D29" s="143"/>
      <c r="E29" s="143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4">
        <f t="shared" si="1"/>
        <v>0</v>
      </c>
    </row>
    <row r="30" spans="1:33" x14ac:dyDescent="0.25">
      <c r="A30" s="156" t="s">
        <v>175</v>
      </c>
      <c r="B30" s="155"/>
      <c r="C30" s="155"/>
      <c r="D30" s="155"/>
      <c r="E30" s="15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4">
        <f t="shared" si="1"/>
        <v>0</v>
      </c>
    </row>
    <row r="31" spans="1:33" x14ac:dyDescent="0.25">
      <c r="A31" s="151" t="s">
        <v>176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3"/>
    </row>
    <row r="32" spans="1:33" x14ac:dyDescent="0.25">
      <c r="A32" s="154" t="s">
        <v>177</v>
      </c>
      <c r="B32" s="154"/>
      <c r="C32" s="154"/>
      <c r="D32" s="154"/>
      <c r="E32" s="154"/>
      <c r="F32" s="157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44">
        <f t="shared" si="1"/>
        <v>0</v>
      </c>
    </row>
    <row r="33" spans="1:33" ht="19.5" x14ac:dyDescent="0.25">
      <c r="A33" s="156" t="s">
        <v>178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>
        <f t="shared" ref="AG33:AG59" si="2">SUM(B33:AF33)</f>
        <v>0</v>
      </c>
    </row>
    <row r="34" spans="1:33" x14ac:dyDescent="0.25">
      <c r="A34" s="159" t="s">
        <v>179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1"/>
    </row>
    <row r="35" spans="1:33" x14ac:dyDescent="0.25">
      <c r="A35" s="162" t="s">
        <v>180</v>
      </c>
      <c r="B35" s="162"/>
      <c r="C35" s="162"/>
      <c r="D35" s="162"/>
      <c r="E35" s="162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45"/>
      <c r="AC35" s="145"/>
      <c r="AD35" s="145"/>
      <c r="AE35" s="145"/>
      <c r="AF35" s="145"/>
      <c r="AG35" s="144">
        <f t="shared" si="2"/>
        <v>0</v>
      </c>
    </row>
    <row r="36" spans="1:33" x14ac:dyDescent="0.25">
      <c r="A36" s="143" t="s">
        <v>181</v>
      </c>
      <c r="B36" s="143"/>
      <c r="C36" s="143"/>
      <c r="D36" s="143"/>
      <c r="E36" s="143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4">
        <f t="shared" si="2"/>
        <v>0</v>
      </c>
    </row>
    <row r="37" spans="1:33" x14ac:dyDescent="0.25">
      <c r="A37" s="159" t="s">
        <v>182</v>
      </c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3"/>
    </row>
    <row r="38" spans="1:33" x14ac:dyDescent="0.25">
      <c r="A38" s="143" t="s">
        <v>183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>
        <f t="shared" si="2"/>
        <v>0</v>
      </c>
    </row>
    <row r="39" spans="1:33" x14ac:dyDescent="0.25">
      <c r="A39" s="143" t="s">
        <v>184</v>
      </c>
      <c r="B39" s="143"/>
      <c r="C39" s="143"/>
      <c r="D39" s="143"/>
      <c r="E39" s="143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4">
        <f t="shared" si="2"/>
        <v>0</v>
      </c>
    </row>
    <row r="40" spans="1:33" x14ac:dyDescent="0.25">
      <c r="A40" s="143" t="s">
        <v>185</v>
      </c>
      <c r="B40" s="143"/>
      <c r="C40" s="143"/>
      <c r="D40" s="143"/>
      <c r="E40" s="143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4">
        <f t="shared" si="2"/>
        <v>0</v>
      </c>
    </row>
    <row r="41" spans="1:33" x14ac:dyDescent="0.25">
      <c r="A41" s="156" t="s">
        <v>186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4">
        <f t="shared" si="2"/>
        <v>0</v>
      </c>
    </row>
    <row r="42" spans="1:33" x14ac:dyDescent="0.25">
      <c r="A42" s="151" t="s">
        <v>187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5"/>
    </row>
    <row r="43" spans="1:33" x14ac:dyDescent="0.25">
      <c r="A43" s="166" t="s">
        <v>188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4">
        <f t="shared" si="2"/>
        <v>0</v>
      </c>
    </row>
    <row r="44" spans="1:33" x14ac:dyDescent="0.25">
      <c r="A44" s="167" t="s">
        <v>189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4">
        <f t="shared" si="2"/>
        <v>0</v>
      </c>
    </row>
    <row r="45" spans="1:33" ht="19.5" x14ac:dyDescent="0.25">
      <c r="A45" s="168" t="s">
        <v>190</v>
      </c>
      <c r="B45" s="155"/>
      <c r="C45" s="155"/>
      <c r="D45" s="155"/>
      <c r="E45" s="15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4">
        <f t="shared" si="2"/>
        <v>0</v>
      </c>
    </row>
    <row r="46" spans="1:33" ht="19.5" x14ac:dyDescent="0.25">
      <c r="A46" s="168" t="s">
        <v>191</v>
      </c>
      <c r="B46" s="155"/>
      <c r="C46" s="155"/>
      <c r="D46" s="155"/>
      <c r="E46" s="15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4">
        <f t="shared" si="2"/>
        <v>0</v>
      </c>
    </row>
    <row r="47" spans="1:33" x14ac:dyDescent="0.25">
      <c r="A47" s="151" t="s">
        <v>192</v>
      </c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5"/>
    </row>
    <row r="48" spans="1:33" x14ac:dyDescent="0.25">
      <c r="A48" s="168" t="s">
        <v>193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4">
        <f t="shared" si="2"/>
        <v>0</v>
      </c>
    </row>
    <row r="49" spans="1:33" x14ac:dyDescent="0.25">
      <c r="A49" s="169" t="s">
        <v>194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4">
        <f t="shared" si="2"/>
        <v>0</v>
      </c>
    </row>
    <row r="50" spans="1:33" x14ac:dyDescent="0.25">
      <c r="A50" s="155" t="s">
        <v>195</v>
      </c>
      <c r="B50" s="155"/>
      <c r="C50" s="155"/>
      <c r="D50" s="155"/>
      <c r="E50" s="15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4">
        <f t="shared" si="2"/>
        <v>0</v>
      </c>
    </row>
    <row r="51" spans="1:33" x14ac:dyDescent="0.25">
      <c r="A51" s="155" t="s">
        <v>196</v>
      </c>
      <c r="B51" s="155"/>
      <c r="C51" s="155"/>
      <c r="D51" s="155"/>
      <c r="E51" s="15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4">
        <f t="shared" si="2"/>
        <v>0</v>
      </c>
    </row>
    <row r="52" spans="1:33" x14ac:dyDescent="0.25">
      <c r="A52" s="155" t="s">
        <v>197</v>
      </c>
      <c r="B52" s="155"/>
      <c r="C52" s="155"/>
      <c r="D52" s="155"/>
      <c r="E52" s="15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4">
        <f t="shared" si="2"/>
        <v>0</v>
      </c>
    </row>
    <row r="53" spans="1:33" x14ac:dyDescent="0.25">
      <c r="A53" s="155" t="s">
        <v>198</v>
      </c>
      <c r="B53" s="155"/>
      <c r="C53" s="155"/>
      <c r="D53" s="155"/>
      <c r="E53" s="15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4">
        <f t="shared" si="2"/>
        <v>0</v>
      </c>
    </row>
    <row r="54" spans="1:33" ht="19.5" x14ac:dyDescent="0.25">
      <c r="A54" s="156" t="s">
        <v>199</v>
      </c>
      <c r="B54" s="155"/>
      <c r="C54" s="155"/>
      <c r="D54" s="155"/>
      <c r="E54" s="15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4">
        <f t="shared" si="2"/>
        <v>0</v>
      </c>
    </row>
    <row r="55" spans="1:33" x14ac:dyDescent="0.25">
      <c r="A55" s="170" t="s">
        <v>200</v>
      </c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2"/>
    </row>
    <row r="56" spans="1:33" ht="19.5" x14ac:dyDescent="0.25">
      <c r="A56" s="173" t="s">
        <v>201</v>
      </c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4">
        <f t="shared" si="2"/>
        <v>0</v>
      </c>
    </row>
    <row r="57" spans="1:33" x14ac:dyDescent="0.25">
      <c r="A57" s="168" t="s">
        <v>202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44">
        <f t="shared" si="2"/>
        <v>0</v>
      </c>
    </row>
    <row r="58" spans="1:33" x14ac:dyDescent="0.25">
      <c r="A58" s="175" t="s">
        <v>203</v>
      </c>
      <c r="B58" s="143"/>
      <c r="C58" s="143"/>
      <c r="D58" s="143"/>
      <c r="E58" s="143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4">
        <f t="shared" si="2"/>
        <v>0</v>
      </c>
    </row>
    <row r="59" spans="1:33" x14ac:dyDescent="0.25">
      <c r="A59" s="175" t="s">
        <v>204</v>
      </c>
      <c r="B59" s="143"/>
      <c r="C59" s="143"/>
      <c r="D59" s="143"/>
      <c r="E59" s="143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4">
        <f t="shared" si="2"/>
        <v>0</v>
      </c>
    </row>
    <row r="60" spans="1:33" x14ac:dyDescent="0.25">
      <c r="A60" s="513" t="s">
        <v>205</v>
      </c>
      <c r="B60" s="514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5"/>
    </row>
    <row r="61" spans="1:33" ht="19.5" x14ac:dyDescent="0.25">
      <c r="A61" s="155" t="s">
        <v>206</v>
      </c>
      <c r="B61" s="155"/>
      <c r="C61" s="155"/>
      <c r="D61" s="155"/>
      <c r="E61" s="15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4">
        <f t="shared" ref="AG61:AG73" si="3">SUM(B61:AF61)</f>
        <v>0</v>
      </c>
    </row>
    <row r="62" spans="1:33" ht="19.5" x14ac:dyDescent="0.25">
      <c r="A62" s="155" t="s">
        <v>207</v>
      </c>
      <c r="B62" s="155"/>
      <c r="C62" s="155"/>
      <c r="D62" s="155"/>
      <c r="E62" s="15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4">
        <f t="shared" si="3"/>
        <v>0</v>
      </c>
    </row>
    <row r="63" spans="1:33" ht="19.5" x14ac:dyDescent="0.25">
      <c r="A63" s="155" t="s">
        <v>208</v>
      </c>
      <c r="B63" s="155"/>
      <c r="C63" s="155"/>
      <c r="D63" s="155"/>
      <c r="E63" s="15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4">
        <f t="shared" si="3"/>
        <v>0</v>
      </c>
    </row>
    <row r="64" spans="1:33" x14ac:dyDescent="0.25">
      <c r="A64" s="156" t="s">
        <v>209</v>
      </c>
      <c r="B64" s="155"/>
      <c r="C64" s="155"/>
      <c r="D64" s="155"/>
      <c r="E64" s="15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4">
        <f t="shared" si="3"/>
        <v>0</v>
      </c>
    </row>
    <row r="65" spans="1:33" x14ac:dyDescent="0.25">
      <c r="A65" s="151" t="s">
        <v>210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3"/>
    </row>
    <row r="66" spans="1:33" x14ac:dyDescent="0.25">
      <c r="A66" s="154" t="s">
        <v>211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4">
        <f t="shared" si="3"/>
        <v>0</v>
      </c>
    </row>
    <row r="67" spans="1:33" ht="19.5" x14ac:dyDescent="0.25">
      <c r="A67" s="155" t="s">
        <v>212</v>
      </c>
      <c r="B67" s="155"/>
      <c r="C67" s="155"/>
      <c r="D67" s="155"/>
      <c r="E67" s="15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4">
        <f t="shared" si="3"/>
        <v>0</v>
      </c>
    </row>
    <row r="68" spans="1:33" x14ac:dyDescent="0.25">
      <c r="A68" s="155" t="s">
        <v>213</v>
      </c>
      <c r="B68" s="155"/>
      <c r="C68" s="155"/>
      <c r="D68" s="155"/>
      <c r="E68" s="15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4">
        <f t="shared" si="3"/>
        <v>0</v>
      </c>
    </row>
    <row r="69" spans="1:33" x14ac:dyDescent="0.25">
      <c r="A69" s="155" t="s">
        <v>214</v>
      </c>
      <c r="B69" s="155"/>
      <c r="C69" s="155"/>
      <c r="D69" s="155"/>
      <c r="E69" s="15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4">
        <f t="shared" si="3"/>
        <v>0</v>
      </c>
    </row>
    <row r="70" spans="1:33" x14ac:dyDescent="0.25">
      <c r="A70" s="155" t="s">
        <v>215</v>
      </c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4">
        <f t="shared" si="3"/>
        <v>0</v>
      </c>
    </row>
    <row r="71" spans="1:33" x14ac:dyDescent="0.25">
      <c r="A71" s="143" t="s">
        <v>216</v>
      </c>
      <c r="B71" s="143"/>
      <c r="C71" s="143"/>
      <c r="D71" s="143"/>
      <c r="E71" s="143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4">
        <f t="shared" si="3"/>
        <v>0</v>
      </c>
    </row>
    <row r="72" spans="1:33" x14ac:dyDescent="0.25">
      <c r="A72" s="143" t="s">
        <v>217</v>
      </c>
      <c r="B72" s="143"/>
      <c r="C72" s="143"/>
      <c r="D72" s="143"/>
      <c r="E72" s="143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4">
        <f t="shared" si="3"/>
        <v>0</v>
      </c>
    </row>
    <row r="73" spans="1:33" x14ac:dyDescent="0.25">
      <c r="A73" s="143" t="s">
        <v>218</v>
      </c>
      <c r="B73" s="143"/>
      <c r="C73" s="143"/>
      <c r="D73" s="143"/>
      <c r="E73" s="143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4">
        <f t="shared" si="3"/>
        <v>0</v>
      </c>
    </row>
    <row r="74" spans="1:33" ht="19.5" x14ac:dyDescent="0.25">
      <c r="A74" s="156" t="s">
        <v>219</v>
      </c>
      <c r="B74" s="155"/>
      <c r="C74" s="155"/>
      <c r="D74" s="155"/>
      <c r="E74" s="15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76">
        <f>+AG44+AG49+AG56+AG59+AG66+AG70</f>
        <v>0</v>
      </c>
    </row>
    <row r="75" spans="1:33" x14ac:dyDescent="0.25">
      <c r="A75" s="151" t="s">
        <v>220</v>
      </c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3"/>
    </row>
    <row r="76" spans="1:33" x14ac:dyDescent="0.25">
      <c r="A76" s="177" t="s">
        <v>221</v>
      </c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44">
        <f t="shared" ref="AG76:AG82" si="4">SUM(B76:AF76)</f>
        <v>0</v>
      </c>
    </row>
    <row r="77" spans="1:33" ht="18" x14ac:dyDescent="0.25">
      <c r="A77" s="178" t="s">
        <v>222</v>
      </c>
      <c r="B77" s="179"/>
      <c r="C77" s="179"/>
      <c r="D77" s="179"/>
      <c r="E77" s="179"/>
      <c r="F77" s="179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44">
        <f t="shared" si="4"/>
        <v>0</v>
      </c>
    </row>
    <row r="78" spans="1:33" x14ac:dyDescent="0.25">
      <c r="A78" s="181" t="s">
        <v>223</v>
      </c>
      <c r="B78" s="179"/>
      <c r="C78" s="179"/>
      <c r="D78" s="179"/>
      <c r="E78" s="179"/>
      <c r="F78" s="179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4">
        <f t="shared" si="4"/>
        <v>0</v>
      </c>
    </row>
    <row r="79" spans="1:33" x14ac:dyDescent="0.25">
      <c r="A79" s="175" t="s">
        <v>224</v>
      </c>
      <c r="B79" s="143"/>
      <c r="C79" s="143"/>
      <c r="D79" s="143"/>
      <c r="E79" s="143"/>
      <c r="F79" s="177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4">
        <f t="shared" si="4"/>
        <v>0</v>
      </c>
    </row>
    <row r="80" spans="1:33" x14ac:dyDescent="0.25">
      <c r="A80" s="175" t="s">
        <v>225</v>
      </c>
      <c r="B80" s="143"/>
      <c r="C80" s="143"/>
      <c r="D80" s="143"/>
      <c r="E80" s="143"/>
      <c r="F80" s="177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4">
        <f t="shared" si="4"/>
        <v>0</v>
      </c>
    </row>
    <row r="81" spans="1:33" x14ac:dyDescent="0.25">
      <c r="A81" s="175" t="s">
        <v>226</v>
      </c>
      <c r="B81" s="143"/>
      <c r="C81" s="143"/>
      <c r="D81" s="143"/>
      <c r="E81" s="143"/>
      <c r="F81" s="177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4">
        <f t="shared" si="4"/>
        <v>0</v>
      </c>
    </row>
    <row r="82" spans="1:33" x14ac:dyDescent="0.25">
      <c r="A82" s="175" t="s">
        <v>227</v>
      </c>
      <c r="B82" s="143"/>
      <c r="C82" s="143"/>
      <c r="D82" s="143"/>
      <c r="E82" s="143"/>
      <c r="F82" s="147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4">
        <f t="shared" si="4"/>
        <v>0</v>
      </c>
    </row>
    <row r="83" spans="1:33" ht="18" x14ac:dyDescent="0.25">
      <c r="A83" s="179" t="s">
        <v>228</v>
      </c>
      <c r="B83" s="179"/>
      <c r="C83" s="179"/>
      <c r="D83" s="179"/>
      <c r="E83" s="179"/>
      <c r="F83" s="179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4">
        <v>0</v>
      </c>
    </row>
    <row r="84" spans="1:33" x14ac:dyDescent="0.25">
      <c r="A84" s="143" t="s">
        <v>229</v>
      </c>
      <c r="B84" s="143"/>
      <c r="C84" s="143"/>
      <c r="D84" s="143"/>
      <c r="E84" s="143"/>
      <c r="F84" s="143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4">
        <f t="shared" ref="AG84:AG89" si="5">SUM(B84:AF84)</f>
        <v>0</v>
      </c>
    </row>
    <row r="85" spans="1:33" x14ac:dyDescent="0.25">
      <c r="A85" s="182" t="s">
        <v>230</v>
      </c>
      <c r="B85" s="182"/>
      <c r="C85" s="182"/>
      <c r="D85" s="182"/>
      <c r="E85" s="182"/>
      <c r="F85" s="179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4">
        <f t="shared" si="5"/>
        <v>0</v>
      </c>
    </row>
    <row r="86" spans="1:33" x14ac:dyDescent="0.25">
      <c r="A86" s="179" t="s">
        <v>231</v>
      </c>
      <c r="B86" s="179"/>
      <c r="C86" s="179"/>
      <c r="D86" s="179"/>
      <c r="E86" s="179"/>
      <c r="F86" s="179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4">
        <f t="shared" si="5"/>
        <v>0</v>
      </c>
    </row>
    <row r="87" spans="1:33" x14ac:dyDescent="0.25">
      <c r="A87" s="179" t="s">
        <v>232</v>
      </c>
      <c r="B87" s="179"/>
      <c r="C87" s="179"/>
      <c r="D87" s="179"/>
      <c r="E87" s="179"/>
      <c r="F87" s="179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4">
        <f t="shared" si="5"/>
        <v>0</v>
      </c>
    </row>
    <row r="88" spans="1:33" x14ac:dyDescent="0.25">
      <c r="A88" s="179" t="s">
        <v>233</v>
      </c>
      <c r="B88" s="179"/>
      <c r="C88" s="179"/>
      <c r="D88" s="179"/>
      <c r="E88" s="179"/>
      <c r="F88" s="179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4">
        <f t="shared" si="5"/>
        <v>0</v>
      </c>
    </row>
    <row r="89" spans="1:33" x14ac:dyDescent="0.25">
      <c r="A89" s="179" t="s">
        <v>234</v>
      </c>
      <c r="B89" s="179"/>
      <c r="C89" s="179"/>
      <c r="D89" s="179"/>
      <c r="E89" s="179"/>
      <c r="F89" s="179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4">
        <f t="shared" si="5"/>
        <v>0</v>
      </c>
    </row>
    <row r="90" spans="1:33" x14ac:dyDescent="0.25">
      <c r="A90" s="143" t="s">
        <v>235</v>
      </c>
      <c r="B90" s="143"/>
      <c r="C90" s="143"/>
      <c r="D90" s="143"/>
      <c r="E90" s="143"/>
      <c r="F90" s="143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4">
        <v>0</v>
      </c>
    </row>
    <row r="91" spans="1:33" x14ac:dyDescent="0.25">
      <c r="A91" s="183" t="s">
        <v>236</v>
      </c>
      <c r="B91" s="143"/>
      <c r="C91" s="143"/>
      <c r="D91" s="143"/>
      <c r="E91" s="143"/>
      <c r="F91" s="143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4">
        <v>0</v>
      </c>
    </row>
    <row r="92" spans="1:33" x14ac:dyDescent="0.25">
      <c r="A92" s="143" t="s">
        <v>237</v>
      </c>
      <c r="B92" s="143"/>
      <c r="C92" s="143"/>
      <c r="D92" s="143"/>
      <c r="E92" s="143"/>
      <c r="F92" s="143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4">
        <v>0</v>
      </c>
    </row>
    <row r="93" spans="1:33" x14ac:dyDescent="0.25">
      <c r="A93" s="148" t="s">
        <v>238</v>
      </c>
      <c r="B93" s="143"/>
      <c r="C93" s="143"/>
      <c r="D93" s="143"/>
      <c r="E93" s="143"/>
      <c r="F93" s="143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4">
        <v>0</v>
      </c>
    </row>
    <row r="94" spans="1:33" x14ac:dyDescent="0.25">
      <c r="A94" s="143" t="s">
        <v>239</v>
      </c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69">
        <v>0</v>
      </c>
    </row>
    <row r="95" spans="1:33" x14ac:dyDescent="0.25">
      <c r="A95" s="184" t="s">
        <v>240</v>
      </c>
      <c r="B95" s="179"/>
      <c r="C95" s="179"/>
      <c r="D95" s="179"/>
      <c r="E95" s="179"/>
      <c r="F95" s="147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4">
        <f>SUM(B95:AF95)</f>
        <v>0</v>
      </c>
    </row>
    <row r="96" spans="1:33" x14ac:dyDescent="0.25">
      <c r="A96" s="179" t="s">
        <v>241</v>
      </c>
      <c r="B96" s="179"/>
      <c r="C96" s="179"/>
      <c r="D96" s="179"/>
      <c r="E96" s="179"/>
      <c r="F96" s="179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4">
        <f>SUM(B96:AF96)</f>
        <v>0</v>
      </c>
    </row>
    <row r="97" spans="1:33" x14ac:dyDescent="0.25">
      <c r="A97" s="179" t="s">
        <v>242</v>
      </c>
      <c r="B97" s="179"/>
      <c r="C97" s="179"/>
      <c r="D97" s="179"/>
      <c r="E97" s="179"/>
      <c r="F97" s="179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4">
        <f>SUM(B97:AF97)</f>
        <v>0</v>
      </c>
    </row>
    <row r="98" spans="1:33" ht="18" x14ac:dyDescent="0.25">
      <c r="A98" s="179" t="s">
        <v>243</v>
      </c>
      <c r="B98" s="179"/>
      <c r="C98" s="179"/>
      <c r="D98" s="179"/>
      <c r="E98" s="179"/>
      <c r="F98" s="179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4">
        <v>0</v>
      </c>
    </row>
    <row r="99" spans="1:33" x14ac:dyDescent="0.25">
      <c r="A99" s="143" t="s">
        <v>244</v>
      </c>
      <c r="B99" s="143"/>
      <c r="C99" s="143"/>
      <c r="D99" s="143"/>
      <c r="E99" s="143"/>
      <c r="F99" s="143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4">
        <f t="shared" ref="AG99:AG105" si="6">SUM(B99:AF99)</f>
        <v>0</v>
      </c>
    </row>
    <row r="100" spans="1:33" x14ac:dyDescent="0.25">
      <c r="A100" s="516" t="s">
        <v>245</v>
      </c>
      <c r="B100" s="517"/>
      <c r="C100" s="517"/>
      <c r="D100" s="517"/>
      <c r="E100" s="517"/>
      <c r="F100" s="517"/>
      <c r="G100" s="517"/>
      <c r="H100" s="517"/>
      <c r="I100" s="517"/>
      <c r="J100" s="517"/>
      <c r="K100" s="517"/>
      <c r="L100" s="517"/>
      <c r="M100" s="517"/>
      <c r="N100" s="517"/>
      <c r="O100" s="517"/>
      <c r="P100" s="517"/>
      <c r="Q100" s="517"/>
      <c r="R100" s="517"/>
      <c r="S100" s="517"/>
      <c r="T100" s="517"/>
      <c r="U100" s="517"/>
      <c r="V100" s="517"/>
      <c r="W100" s="517"/>
      <c r="X100" s="517"/>
      <c r="Y100" s="517"/>
      <c r="Z100" s="517"/>
      <c r="AA100" s="517"/>
      <c r="AB100" s="517"/>
      <c r="AC100" s="517"/>
      <c r="AD100" s="517"/>
      <c r="AE100" s="517"/>
      <c r="AF100" s="517"/>
      <c r="AG100" s="518"/>
    </row>
    <row r="101" spans="1:33" x14ac:dyDescent="0.25">
      <c r="A101" s="185" t="s">
        <v>246</v>
      </c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4">
        <f t="shared" si="6"/>
        <v>0</v>
      </c>
    </row>
    <row r="102" spans="1:33" x14ac:dyDescent="0.25">
      <c r="A102" s="186" t="s">
        <v>247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4">
        <f t="shared" si="6"/>
        <v>0</v>
      </c>
    </row>
    <row r="103" spans="1:33" x14ac:dyDescent="0.25">
      <c r="A103" s="186" t="s">
        <v>248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4">
        <f t="shared" si="6"/>
        <v>0</v>
      </c>
    </row>
    <row r="104" spans="1:33" x14ac:dyDescent="0.25">
      <c r="A104" s="186" t="s">
        <v>249</v>
      </c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4">
        <f t="shared" si="6"/>
        <v>0</v>
      </c>
    </row>
    <row r="105" spans="1:33" x14ac:dyDescent="0.25">
      <c r="A105" s="187" t="s">
        <v>250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4">
        <f t="shared" si="6"/>
        <v>0</v>
      </c>
    </row>
  </sheetData>
  <mergeCells count="6">
    <mergeCell ref="A9:A10"/>
    <mergeCell ref="A60:AG60"/>
    <mergeCell ref="A100:AG100"/>
    <mergeCell ref="B1:Y1"/>
    <mergeCell ref="B2:Y2"/>
    <mergeCell ref="B3:Y3"/>
  </mergeCells>
  <pageMargins left="0.52" right="0.28999999999999998" top="0.32" bottom="0.31" header="0.24" footer="0.22"/>
  <pageSetup paperSize="14" scale="7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1- CONSULTAS MEDICAS </vt:lpstr>
      <vt:lpstr>2- ODONTOLOGIA </vt:lpstr>
      <vt:lpstr>3- ESPECIALIDADES</vt:lpstr>
      <vt:lpstr>4- M. DIAGNOSTICO</vt:lpstr>
      <vt:lpstr>5- PRODUCTIVIDAD</vt:lpstr>
      <vt:lpstr>6- MEDICAMENTOS</vt:lpstr>
      <vt:lpstr>7- LABORATORIO </vt:lpstr>
      <vt:lpstr>8- URGENCIAS</vt:lpstr>
      <vt:lpstr>9- ENFERMERIA</vt:lpstr>
      <vt:lpstr>10- INTERNACIONES</vt:lpstr>
      <vt:lpstr>11- PACIENTE DIA</vt:lpstr>
      <vt:lpstr>12- PROGRAMA VIH-TB</vt:lpstr>
      <vt:lpstr>13- PROGRAMAS SALUD</vt:lpstr>
      <vt:lpstr>CONSULTAS. DIARIA </vt:lpstr>
      <vt:lpstr>ENFERMERIA DIARIA</vt:lpstr>
      <vt:lpstr>PROGRAMA DIARIA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Elizabeth Visitacion Benitez de Fatecha</cp:lastModifiedBy>
  <cp:lastPrinted>2016-12-07T12:13:35Z</cp:lastPrinted>
  <dcterms:created xsi:type="dcterms:W3CDTF">2014-10-23T13:39:08Z</dcterms:created>
  <dcterms:modified xsi:type="dcterms:W3CDTF">2026-03-24T11:15:52Z</dcterms:modified>
</cp:coreProperties>
</file>